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b6cf1ed90248c0" /></Relationships>
</file>

<file path=xl/workbook.xml><?xml version="1.0" encoding="utf-8"?>
<x:workbook xmlns:x="http://schemas.openxmlformats.org/spreadsheetml/2006/main">
  <x:sheets>
    <x:sheet xmlns:r="http://schemas.openxmlformats.org/officeDocument/2006/relationships" name="Executive Summary" sheetId="1" r:id="Rbeb286647d2d4bf0"/>
    <x:sheet xmlns:r="http://schemas.openxmlformats.org/officeDocument/2006/relationships" name="README" sheetId="2" r:id="R7cff28a0627e478f"/>
    <x:sheet xmlns:r="http://schemas.openxmlformats.org/officeDocument/2006/relationships" name="Brand Repository" sheetId="3" r:id="Rf30091064e894990"/>
    <x:sheet xmlns:r="http://schemas.openxmlformats.org/officeDocument/2006/relationships" name="Retailer Model" sheetId="4" r:id="Rb4a006a2f8b341e7"/>
    <x:sheet xmlns:r="http://schemas.openxmlformats.org/officeDocument/2006/relationships" name="Assumptions" sheetId="5" r:id="R616c9d60a8154516"/>
    <x:sheet xmlns:r="http://schemas.openxmlformats.org/officeDocument/2006/relationships" name="Sources" sheetId="6" r:id="Rca00c506d838454e"/>
    <x:sheet xmlns:r="http://schemas.openxmlformats.org/officeDocument/2006/relationships" name="Coverage &amp; Gaps" sheetId="7" r:id="Re285002f31dc4f7c"/>
    <x:sheet xmlns:r="http://schemas.openxmlformats.org/officeDocument/2006/relationships" name="Data Dictionary" sheetId="8" r:id="R9fc93a5c9e434163"/>
    <x:sheet xmlns:r="http://schemas.openxmlformats.org/officeDocument/2006/relationships" name="QA Summary" sheetId="9" r:id="Ra5758bc6527c456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
  </x:numFmts>
  <x:fonts count="10">
    <x:font>
      <x:sz val="11"/>
      <x:name val="Carlito"/>
    </x:font>
    <x:font>
      <x:b/>
      <x:sz val="20"/>
      <x:color rgb="FFFFFFFF"/>
      <x:name val="Carlito"/>
    </x:font>
    <x:font>
      <x:i/>
      <x:sz val="11"/>
      <x:color rgb="FF243B53"/>
      <x:name val="Carlito"/>
    </x:font>
    <x:font>
      <x:b/>
      <x:sz val="12"/>
      <x:color rgb="FFFFFFFF"/>
      <x:name val="Carlito"/>
    </x:font>
    <x:font>
      <x:b/>
      <x:sz val="11"/>
      <x:color rgb="FF243B53"/>
      <x:name val="Carlito"/>
    </x:font>
    <x:font>
      <x:b/>
      <x:sz val="13"/>
      <x:color rgb="FF102A43"/>
      <x:name val="Carlito"/>
    </x:font>
    <x:font>
      <x:b/>
      <x:sz val="11"/>
      <x:color rgb="FFFFFFFF"/>
      <x:name val="Carlito"/>
    </x:font>
    <x:font>
      <x:sz val="11"/>
      <x:color rgb="FF52606D"/>
      <x:name val="Carlito"/>
    </x:font>
    <x:font>
      <x:b/>
      <x:sz val="11"/>
      <x:color rgb="FF102A43"/>
      <x:name val="Carlito"/>
    </x:font>
    <x:font>
      <x:b/>
      <x:sz val="11"/>
      <x:color rgb="FF1B7F5A"/>
      <x:name val="Carlito"/>
    </x:font>
  </x:fonts>
  <x:fills count="10">
    <x:fill>
      <x:patternFill patternType="none"/>
    </x:fill>
    <x:fill>
      <x:patternFill patternType="gray125"/>
    </x:fill>
    <x:fill>
      <x:patternFill patternType="solid">
        <x:fgColor rgb="FF102A43"/>
      </x:patternFill>
    </x:fill>
    <x:fill>
      <x:patternFill patternType="solid">
        <x:fgColor rgb="FFEAF4FB"/>
      </x:patternFill>
    </x:fill>
    <x:fill>
      <x:patternFill patternType="solid">
        <x:fgColor rgb="FFE50019"/>
      </x:patternFill>
    </x:fill>
    <x:fill>
      <x:patternFill patternType="solid">
        <x:fgColor rgb="FFFFF4D6"/>
      </x:patternFill>
    </x:fill>
    <x:fill>
      <x:patternFill patternType="solid">
        <x:fgColor rgb="FFE6F4EE"/>
      </x:patternFill>
    </x:fill>
    <x:fill>
      <x:patternFill patternType="solid">
        <x:fgColor rgb="FF243B53"/>
      </x:patternFill>
    </x:fill>
    <x:fill>
      <x:patternFill patternType="solid">
        <x:fgColor rgb="FFFFFFFF"/>
      </x:patternFill>
    </x:fill>
    <x:fill>
      <x:patternFill patternType="solid">
        <x:fgColor rgb="FFFDEBEC"/>
      </x:patternFill>
    </x:fill>
  </x:fills>
  <x:borders count="35">
    <x:border/>
    <x:border>
      <x:left style="thin">
        <x:color rgb="FFC47A00"/>
      </x:left>
      <x:top style="thin">
        <x:color rgb="FFC47A00"/>
      </x:top>
    </x:border>
    <x:border>
      <x:top style="thin">
        <x:color rgb="FFC47A00"/>
      </x:top>
    </x:border>
    <x:border>
      <x:right style="thin">
        <x:color rgb="FFC47A00"/>
      </x:right>
      <x:top style="thin">
        <x:color rgb="FFC47A00"/>
      </x:top>
    </x:border>
    <x:border>
      <x:left style="thin">
        <x:color rgb="FFC47A00"/>
      </x:left>
    </x:border>
    <x:border>
      <x:right style="thin">
        <x:color rgb="FFC47A00"/>
      </x:right>
    </x:border>
    <x:border>
      <x:left style="thin">
        <x:color rgb="FFC47A00"/>
      </x:left>
      <x:bottom style="thin">
        <x:color rgb="FFC47A00"/>
      </x:bottom>
    </x:border>
    <x:border>
      <x:bottom style="thin">
        <x:color rgb="FFC47A00"/>
      </x:bottom>
    </x:border>
    <x:border>
      <x:right style="thin">
        <x:color rgb="FFC47A00"/>
      </x:right>
      <x:bottom style="thin">
        <x:color rgb="FFC47A00"/>
      </x:bottom>
    </x:border>
    <x:border>
      <x:left style="thin">
        <x:color rgb="FFD9E2EC"/>
      </x:left>
      <x:top style="thin">
        <x:color rgb="FFD9E2EC"/>
      </x:top>
    </x:border>
    <x:border>
      <x:right style="thin">
        <x:color rgb="FFD9E2EC"/>
      </x:right>
      <x:top style="thin">
        <x:color rgb="FFD9E2EC"/>
      </x:top>
    </x:border>
    <x:border>
      <x:left style="thin">
        <x:color rgb="FFD9E2EC"/>
      </x:left>
    </x:border>
    <x:border>
      <x:right style="thin">
        <x:color rgb="FFD9E2EC"/>
      </x:right>
    </x:border>
    <x:border>
      <x:left style="thin">
        <x:color rgb="FFD9E2EC"/>
      </x:left>
      <x:bottom style="thin">
        <x:color rgb="FFD9E2EC"/>
      </x:bottom>
    </x:border>
    <x:border>
      <x:right style="thin">
        <x:color rgb="FFD9E2EC"/>
      </x:right>
      <x:bottom style="thin">
        <x:color rgb="FFD9E2EC"/>
      </x:bottom>
    </x:border>
    <x:border>
      <x:top style="thin">
        <x:color rgb="FFD9E2EC"/>
      </x:top>
    </x:border>
    <x:border>
      <x:bottom style="thin">
        <x:color rgb="FFD9E2EC"/>
      </x:bottom>
    </x:border>
    <x:border>
      <x:left style="thin">
        <x:color rgb="FFD9E2EC"/>
      </x:left>
      <x:right style="thin">
        <x:color rgb="FFD9E2EC"/>
      </x:right>
      <x:top style="thin">
        <x:color rgb="FFD9E2EC"/>
      </x:top>
      <x:bottom style="thin">
        <x:color rgb="FFD9E2EC"/>
      </x:bottom>
    </x:border>
    <x:border>
      <x:right style="thin">
        <x:color rgb="FFEEF2F6"/>
      </x:right>
      <x:bottom style="thin">
        <x:color rgb="FFEEF2F6"/>
      </x:bottom>
    </x:border>
    <x:border>
      <x:left style="thin">
        <x:color rgb="FFEEF2F6"/>
      </x:left>
      <x:right style="thin">
        <x:color rgb="FFEEF2F6"/>
      </x:right>
      <x:bottom style="thin">
        <x:color rgb="FFEEF2F6"/>
      </x:bottom>
    </x:border>
    <x:border>
      <x:left style="thin">
        <x:color rgb="FFEEF2F6"/>
      </x:left>
      <x:bottom style="thin">
        <x:color rgb="FFEEF2F6"/>
      </x:bottom>
    </x:border>
    <x:border>
      <x:right style="thin">
        <x:color rgb="FFEEF2F6"/>
      </x:right>
      <x:top style="thin">
        <x:color rgb="FFEEF2F6"/>
      </x:top>
      <x:bottom style="thin">
        <x:color rgb="FFEEF2F6"/>
      </x:bottom>
    </x:border>
    <x:border>
      <x:left style="thin">
        <x:color rgb="FFEEF2F6"/>
      </x:left>
      <x:right style="thin">
        <x:color rgb="FFEEF2F6"/>
      </x:right>
      <x:top style="thin">
        <x:color rgb="FFEEF2F6"/>
      </x:top>
      <x:bottom style="thin">
        <x:color rgb="FFEEF2F6"/>
      </x:bottom>
    </x:border>
    <x:border>
      <x:left style="thin">
        <x:color rgb="FFEEF2F6"/>
      </x:left>
      <x:top style="thin">
        <x:color rgb="FFEEF2F6"/>
      </x:top>
      <x:bottom style="thin">
        <x:color rgb="FFEEF2F6"/>
      </x:bottom>
    </x:border>
    <x:border>
      <x:right style="thin">
        <x:color rgb="FFEEF2F6"/>
      </x:right>
      <x:top style="thin">
        <x:color rgb="FFEEF2F6"/>
      </x:top>
    </x:border>
    <x:border>
      <x:left style="thin">
        <x:color rgb="FFEEF2F6"/>
      </x:left>
      <x:right style="thin">
        <x:color rgb="FFEEF2F6"/>
      </x:right>
      <x:top style="thin">
        <x:color rgb="FFEEF2F6"/>
      </x:top>
    </x:border>
    <x:border>
      <x:left style="thin">
        <x:color rgb="FFEEF2F6"/>
      </x:left>
      <x:top style="thin">
        <x:color rgb="FFEEF2F6"/>
      </x:top>
    </x:border>
    <x:border>
      <x:left style="thin">
        <x:color rgb="FFE50019"/>
      </x:left>
      <x:top style="thin">
        <x:color rgb="FFE50019"/>
      </x:top>
    </x:border>
    <x:border>
      <x:top style="thin">
        <x:color rgb="FFE50019"/>
      </x:top>
    </x:border>
    <x:border>
      <x:right style="thin">
        <x:color rgb="FFE50019"/>
      </x:right>
      <x:top style="thin">
        <x:color rgb="FFE50019"/>
      </x:top>
    </x:border>
    <x:border>
      <x:left style="thin">
        <x:color rgb="FFE50019"/>
      </x:left>
    </x:border>
    <x:border>
      <x:right style="thin">
        <x:color rgb="FFE50019"/>
      </x:right>
    </x:border>
    <x:border>
      <x:left style="thin">
        <x:color rgb="FFE50019"/>
      </x:left>
      <x:bottom style="thin">
        <x:color rgb="FFE50019"/>
      </x:bottom>
    </x:border>
    <x:border>
      <x:bottom style="thin">
        <x:color rgb="FFE50019"/>
      </x:bottom>
    </x:border>
    <x:border>
      <x:right style="thin">
        <x:color rgb="FFE50019"/>
      </x:right>
      <x:bottom style="thin">
        <x:color rgb="FFE50019"/>
      </x:bottom>
    </x:border>
  </x:borders>
  <x:cellStyleXfs count="1">
    <x:xf numFmtId="0" fontId="0" fillId="0" borderId="0"/>
  </x:cellStyleXfs>
  <x:cellXfs count="2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4" fillId="5" borderId="7" xfId="0" applyNumberFormat="1" applyFont="1" applyFill="1" applyBorder="1" applyAlignment="1">
      <x:alignment vertical="center" wrapText="1"/>
    </x:xf>
    <x:xf numFmtId="0" fontId="4" fillId="5" borderId="8"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0" fontId="5" fillId="6" borderId="12" xfId="0" applyNumberFormat="1" applyFont="1" applyFill="1" applyBorder="1"/>
    <x:xf numFmtId="0" fontId="5" fillId="6" borderId="13" xfId="0" applyNumberFormat="1" applyFont="1" applyFill="1" applyBorder="1"/>
    <x:xf numFmtId="0" fontId="5" fillId="6" borderId="14" xfId="0" applyNumberFormat="1" applyFont="1" applyFill="1" applyBorder="1"/>
    <x:xf numFmtId="0" fontId="5" fillId="6" borderId="9"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11" xfId="0" applyNumberFormat="1" applyFont="1" applyFill="1" applyBorder="1" applyAlignment="1">
      <x:alignment wrapText="1"/>
    </x:xf>
    <x:xf numFmtId="0" fontId="5" fillId="6" borderId="12" xfId="0" applyNumberFormat="1" applyFont="1" applyFill="1" applyBorder="1" applyAlignment="1">
      <x:alignment wrapText="1"/>
    </x:xf>
    <x:xf numFmtId="0" fontId="5" fillId="6" borderId="13" xfId="0" applyNumberFormat="1" applyFont="1" applyFill="1" applyBorder="1" applyAlignment="1">
      <x:alignment wrapText="1"/>
    </x:xf>
    <x:xf numFmtId="0" fontId="5" fillId="6" borderId="14" xfId="0" applyNumberFormat="1" applyFont="1" applyFill="1" applyBorder="1" applyAlignment="1">
      <x:alignment wrapText="1"/>
    </x:xf>
    <x:xf numFmtId="0" fontId="5" fillId="6" borderId="9" xfId="0" applyNumberFormat="1" applyFont="1" applyFill="1" applyBorder="1" applyAlignment="1">
      <x:alignment horizontal="center" wrapText="1"/>
    </x:xf>
    <x:xf numFmtId="0" fontId="5" fillId="6" borderId="10" xfId="0" applyNumberFormat="1" applyFont="1" applyFill="1" applyBorder="1" applyAlignment="1">
      <x:alignment horizontal="center" wrapText="1"/>
    </x:xf>
    <x:xf numFmtId="0" fontId="5" fillId="6" borderId="11" xfId="0" applyNumberFormat="1" applyFont="1" applyFill="1" applyBorder="1" applyAlignment="1">
      <x:alignment horizontal="center" wrapText="1"/>
    </x:xf>
    <x:xf numFmtId="0" fontId="5" fillId="6" borderId="12" xfId="0" applyNumberFormat="1" applyFont="1" applyFill="1" applyBorder="1" applyAlignment="1">
      <x:alignment horizontal="center" wrapText="1"/>
    </x:xf>
    <x:xf numFmtId="0" fontId="5" fillId="6" borderId="13" xfId="0" applyNumberFormat="1" applyFont="1" applyFill="1" applyBorder="1" applyAlignment="1">
      <x:alignment horizontal="center" wrapText="1"/>
    </x:xf>
    <x:xf numFmtId="0" fontId="5" fillId="6" borderId="14" xfId="0" applyNumberFormat="1" applyFont="1" applyFill="1" applyBorder="1" applyAlignment="1">
      <x:alignment horizontal="center" wrapText="1"/>
    </x:xf>
    <x:xf numFmtId="0" fontId="5" fillId="6" borderId="9" xfId="0" applyNumberFormat="1" applyFont="1" applyFill="1" applyBorder="1" applyAlignment="1">
      <x:alignment horizontal="center" vertical="center" wrapText="1"/>
    </x:xf>
    <x:xf numFmtId="0" fontId="5" fillId="6" borderId="10" xfId="0" applyNumberFormat="1" applyFont="1" applyFill="1" applyBorder="1" applyAlignment="1">
      <x:alignment horizontal="center" vertical="center" wrapText="1"/>
    </x:xf>
    <x:xf numFmtId="0" fontId="5" fillId="6" borderId="11" xfId="0" applyNumberFormat="1" applyFont="1" applyFill="1" applyBorder="1" applyAlignment="1">
      <x:alignment horizontal="center" vertical="center" wrapText="1"/>
    </x:xf>
    <x:xf numFmtId="0" fontId="5" fillId="6" borderId="12" xfId="0" applyNumberFormat="1" applyFont="1" applyFill="1" applyBorder="1" applyAlignment="1">
      <x:alignment horizontal="center" vertical="center" wrapText="1"/>
    </x:xf>
    <x:xf numFmtId="0" fontId="5" fillId="6" borderId="13" xfId="0" applyNumberFormat="1" applyFont="1" applyFill="1" applyBorder="1" applyAlignment="1">
      <x:alignment horizontal="center" vertical="center" wrapText="1"/>
    </x:xf>
    <x:xf numFmtId="0" fontId="5" fillId="6" borderId="14" xfId="0" applyNumberFormat="1" applyFont="1" applyFill="1" applyBorder="1" applyAlignment="1">
      <x:alignment horizontal="center" vertical="center" wrapText="1"/>
    </x:xf>
    <x:xf numFmtId="0" fontId="5" fillId="3" borderId="0" xfId="0" applyNumberFormat="1" applyFont="1" applyFill="1" applyBorder="1"/>
    <x:xf numFmtId="0" fontId="5" fillId="3" borderId="9" xfId="0" applyNumberFormat="1" applyFont="1" applyFill="1" applyBorder="1"/>
    <x:xf numFmtId="0" fontId="5" fillId="3" borderId="10" xfId="0" applyNumberFormat="1" applyFont="1" applyFill="1" applyBorder="1"/>
    <x:xf numFmtId="0" fontId="5" fillId="3" borderId="11" xfId="0" applyNumberFormat="1" applyFont="1" applyFill="1" applyBorder="1"/>
    <x:xf numFmtId="0" fontId="5" fillId="3" borderId="12" xfId="0" applyNumberFormat="1" applyFont="1" applyFill="1" applyBorder="1"/>
    <x:xf numFmtId="0" fontId="5" fillId="3" borderId="13" xfId="0" applyNumberFormat="1" applyFont="1" applyFill="1" applyBorder="1"/>
    <x:xf numFmtId="0" fontId="5" fillId="3" borderId="14" xfId="0" applyNumberFormat="1" applyFont="1" applyFill="1" applyBorder="1"/>
    <x:xf numFmtId="0" fontId="5" fillId="3" borderId="9" xfId="0" applyNumberFormat="1" applyFont="1" applyFill="1" applyBorder="1" applyAlignment="1">
      <x:alignment wrapText="1"/>
    </x:xf>
    <x:xf numFmtId="0" fontId="5" fillId="3" borderId="10" xfId="0" applyNumberFormat="1" applyFont="1" applyFill="1" applyBorder="1" applyAlignment="1">
      <x:alignment wrapText="1"/>
    </x:xf>
    <x:xf numFmtId="0" fontId="5" fillId="3" borderId="11" xfId="0" applyNumberFormat="1" applyFont="1" applyFill="1" applyBorder="1" applyAlignment="1">
      <x:alignment wrapText="1"/>
    </x:xf>
    <x:xf numFmtId="0" fontId="5" fillId="3" borderId="12" xfId="0" applyNumberFormat="1" applyFont="1" applyFill="1" applyBorder="1" applyAlignment="1">
      <x:alignment wrapText="1"/>
    </x:xf>
    <x:xf numFmtId="0" fontId="5" fillId="3" borderId="13" xfId="0" applyNumberFormat="1" applyFont="1" applyFill="1" applyBorder="1" applyAlignment="1">
      <x:alignment wrapText="1"/>
    </x:xf>
    <x:xf numFmtId="0" fontId="5" fillId="3" borderId="14" xfId="0" applyNumberFormat="1" applyFont="1" applyFill="1" applyBorder="1" applyAlignment="1">
      <x:alignment wrapText="1"/>
    </x:xf>
    <x:xf numFmtId="0" fontId="5" fillId="3" borderId="9" xfId="0" applyNumberFormat="1" applyFont="1" applyFill="1" applyBorder="1" applyAlignment="1">
      <x:alignment horizontal="center" wrapText="1"/>
    </x:xf>
    <x:xf numFmtId="0" fontId="5" fillId="3" borderId="10" xfId="0" applyNumberFormat="1" applyFont="1" applyFill="1" applyBorder="1" applyAlignment="1">
      <x:alignment horizontal="center" wrapText="1"/>
    </x:xf>
    <x:xf numFmtId="0" fontId="5" fillId="3" borderId="11" xfId="0" applyNumberFormat="1" applyFont="1" applyFill="1" applyBorder="1" applyAlignment="1">
      <x:alignment horizontal="center" wrapText="1"/>
    </x:xf>
    <x:xf numFmtId="0" fontId="5" fillId="3" borderId="12" xfId="0" applyNumberFormat="1" applyFont="1" applyFill="1" applyBorder="1" applyAlignment="1">
      <x:alignment horizontal="center" wrapText="1"/>
    </x:xf>
    <x:xf numFmtId="0" fontId="5" fillId="3" borderId="13" xfId="0" applyNumberFormat="1" applyFont="1" applyFill="1" applyBorder="1" applyAlignment="1">
      <x:alignment horizontal="center" wrapText="1"/>
    </x:xf>
    <x:xf numFmtId="0" fontId="5" fillId="3" borderId="14" xfId="0" applyNumberFormat="1" applyFont="1" applyFill="1" applyBorder="1" applyAlignment="1">
      <x:alignment horizontal="center" wrapText="1"/>
    </x:xf>
    <x:xf numFmtId="0" fontId="5" fillId="3" borderId="9" xfId="0" applyNumberFormat="1" applyFont="1" applyFill="1" applyBorder="1" applyAlignment="1">
      <x:alignment horizontal="center" vertical="center" wrapText="1"/>
    </x:xf>
    <x:xf numFmtId="0" fontId="5" fillId="3" borderId="10" xfId="0" applyNumberFormat="1" applyFont="1" applyFill="1" applyBorder="1" applyAlignment="1">
      <x:alignment horizontal="center" vertical="center" wrapText="1"/>
    </x:xf>
    <x:xf numFmtId="0" fontId="5" fillId="3" borderId="11" xfId="0" applyNumberFormat="1" applyFont="1" applyFill="1" applyBorder="1" applyAlignment="1">
      <x:alignment horizontal="center" vertical="center" wrapText="1"/>
    </x:xf>
    <x:xf numFmtId="0" fontId="5" fillId="3" borderId="12" xfId="0" applyNumberFormat="1" applyFont="1" applyFill="1" applyBorder="1" applyAlignment="1">
      <x:alignment horizontal="center" vertical="center" wrapText="1"/>
    </x:xf>
    <x:xf numFmtId="0" fontId="5" fillId="3" borderId="13" xfId="0" applyNumberFormat="1" applyFont="1" applyFill="1" applyBorder="1" applyAlignment="1">
      <x:alignment horizontal="center" vertical="center" wrapText="1"/>
    </x:xf>
    <x:xf numFmtId="0" fontId="5" fillId="3" borderId="14" xfId="0" applyNumberFormat="1" applyFont="1" applyFill="1" applyBorder="1" applyAlignment="1">
      <x:alignment horizontal="center" vertical="center" wrapText="1"/>
    </x:xf>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7" fillId="8" borderId="0" xfId="0" applyNumberFormat="1" applyFont="1" applyFill="1" applyBorder="1"/>
    <x:xf numFmtId="0" fontId="7" fillId="8" borderId="9" xfId="0" applyNumberFormat="1" applyFont="1" applyFill="1" applyBorder="1"/>
    <x:xf numFmtId="0" fontId="7" fillId="8" borderId="15" xfId="0" applyNumberFormat="1" applyFont="1" applyFill="1" applyBorder="1"/>
    <x:xf numFmtId="0" fontId="7" fillId="8" borderId="10" xfId="0" applyNumberFormat="1" applyFont="1" applyFill="1" applyBorder="1"/>
    <x:xf numFmtId="0" fontId="7" fillId="8" borderId="11" xfId="0" applyNumberFormat="1" applyFont="1" applyFill="1" applyBorder="1"/>
    <x:xf numFmtId="0" fontId="7" fillId="8" borderId="12" xfId="0" applyNumberFormat="1" applyFont="1" applyFill="1" applyBorder="1"/>
    <x:xf numFmtId="0" fontId="7" fillId="8" borderId="13" xfId="0" applyNumberFormat="1" applyFont="1" applyFill="1" applyBorder="1"/>
    <x:xf numFmtId="0" fontId="7" fillId="8" borderId="16" xfId="0" applyNumberFormat="1" applyFont="1" applyFill="1" applyBorder="1"/>
    <x:xf numFmtId="0" fontId="7" fillId="8" borderId="14" xfId="0" applyNumberFormat="1" applyFont="1" applyFill="1" applyBorder="1"/>
    <x:xf numFmtId="0" fontId="7" fillId="8" borderId="9" xfId="0" applyNumberFormat="1" applyFont="1" applyFill="1" applyBorder="1" applyAlignment="1">
      <x:alignment wrapText="1"/>
    </x:xf>
    <x:xf numFmtId="0" fontId="7" fillId="8" borderId="15" xfId="0" applyNumberFormat="1" applyFont="1" applyFill="1" applyBorder="1" applyAlignment="1">
      <x:alignment wrapText="1"/>
    </x:xf>
    <x:xf numFmtId="0" fontId="7" fillId="8" borderId="10" xfId="0" applyNumberFormat="1" applyFont="1" applyFill="1" applyBorder="1" applyAlignment="1">
      <x:alignment wrapText="1"/>
    </x:xf>
    <x:xf numFmtId="0" fontId="7" fillId="8" borderId="11" xfId="0" applyNumberFormat="1" applyFont="1" applyFill="1" applyBorder="1" applyAlignment="1">
      <x:alignment wrapText="1"/>
    </x:xf>
    <x:xf numFmtId="0" fontId="7" fillId="8" borderId="0" xfId="0" applyNumberFormat="1" applyFont="1" applyFill="1" applyBorder="1" applyAlignment="1">
      <x:alignment wrapText="1"/>
    </x:xf>
    <x:xf numFmtId="0" fontId="7" fillId="8" borderId="12" xfId="0" applyNumberFormat="1" applyFont="1" applyFill="1" applyBorder="1" applyAlignment="1">
      <x:alignment wrapText="1"/>
    </x:xf>
    <x:xf numFmtId="0" fontId="7" fillId="8" borderId="13" xfId="0" applyNumberFormat="1" applyFont="1" applyFill="1" applyBorder="1" applyAlignment="1">
      <x:alignment wrapText="1"/>
    </x:xf>
    <x:xf numFmtId="0" fontId="7" fillId="8" borderId="16" xfId="0" applyNumberFormat="1" applyFont="1" applyFill="1" applyBorder="1" applyAlignment="1">
      <x:alignment wrapText="1"/>
    </x:xf>
    <x:xf numFmtId="0" fontId="7" fillId="8" borderId="14" xfId="0" applyNumberFormat="1" applyFont="1" applyFill="1" applyBorder="1" applyAlignment="1">
      <x:alignment wrapText="1"/>
    </x:xf>
    <x:xf numFmtId="0" fontId="7" fillId="8" borderId="9" xfId="0" applyNumberFormat="1" applyFont="1" applyFill="1" applyBorder="1" applyAlignment="1">
      <x:alignment vertical="top" wrapText="1"/>
    </x:xf>
    <x:xf numFmtId="0" fontId="7" fillId="8" borderId="15" xfId="0" applyNumberFormat="1" applyFont="1" applyFill="1" applyBorder="1" applyAlignment="1">
      <x:alignment vertical="top" wrapText="1"/>
    </x:xf>
    <x:xf numFmtId="0" fontId="7" fillId="8" borderId="10" xfId="0" applyNumberFormat="1" applyFont="1" applyFill="1" applyBorder="1" applyAlignment="1">
      <x:alignment vertical="top" wrapText="1"/>
    </x:xf>
    <x:xf numFmtId="0" fontId="7" fillId="8" borderId="11"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8" borderId="12" xfId="0" applyNumberFormat="1" applyFont="1" applyFill="1" applyBorder="1" applyAlignment="1">
      <x:alignment vertical="top" wrapText="1"/>
    </x:xf>
    <x:xf numFmtId="0" fontId="7" fillId="8" borderId="13" xfId="0" applyNumberFormat="1" applyFont="1" applyFill="1" applyBorder="1" applyAlignment="1">
      <x:alignment vertical="top" wrapText="1"/>
    </x:xf>
    <x:xf numFmtId="0" fontId="7" fillId="8" borderId="16" xfId="0" applyNumberFormat="1" applyFont="1" applyFill="1" applyBorder="1" applyAlignment="1">
      <x:alignment vertical="top" wrapText="1"/>
    </x:xf>
    <x:xf numFmtId="0" fontId="7" fillId="8" borderId="14" xfId="0" applyNumberFormat="1" applyFont="1" applyFill="1" applyBorder="1" applyAlignment="1">
      <x:alignment vertical="top" wrapText="1"/>
    </x:xf>
    <x:xf numFmtId="0" fontId="6" fillId="2" borderId="0" xfId="0" applyNumberFormat="1" applyFont="1" applyFill="1" applyBorder="1"/>
    <x:xf numFmtId="0" fontId="6" fillId="2" borderId="17" xfId="0" applyNumberFormat="1" applyFont="1" applyFill="1" applyBorder="1"/>
    <x:xf numFmtId="0" fontId="6" fillId="2" borderId="17" xfId="0" applyNumberFormat="1" applyFont="1" applyFill="1" applyBorder="1" applyAlignment="1">
      <x:alignment wrapText="1"/>
    </x:xf>
    <x:xf numFmtId="0" fontId="6" fillId="2" borderId="17" xfId="0" applyNumberFormat="1" applyFont="1" applyFill="1" applyBorder="1" applyAlignment="1">
      <x:alignment horizontal="left" wrapText="1"/>
    </x:xf>
    <x:xf numFmtId="0" fontId="6" fillId="2" borderId="17" xfId="0" applyNumberFormat="1" applyFont="1" applyFill="1" applyBorder="1" applyAlignment="1">
      <x:alignment horizontal="left" vertical="center" wrapText="1"/>
    </x:xf>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18" xfId="0" applyNumberFormat="1" applyFont="1" applyFill="1" applyBorder="1" applyAlignment="1">
      <x:alignment wrapText="0"/>
    </x:xf>
    <x:xf numFmtId="0" fontId="0" fillId="0" borderId="19" xfId="0" applyNumberFormat="1" applyFont="1" applyFill="1" applyBorder="1" applyAlignment="1">
      <x:alignment wrapText="0"/>
    </x:xf>
    <x:xf numFmtId="0" fontId="0" fillId="0" borderId="20" xfId="0" applyNumberFormat="1" applyFont="1" applyFill="1" applyBorder="1" applyAlignment="1">
      <x:alignment wrapText="0"/>
    </x:xf>
    <x:xf numFmtId="0" fontId="0" fillId="0" borderId="21" xfId="0" applyNumberFormat="1" applyFont="1" applyFill="1" applyBorder="1" applyAlignment="1">
      <x:alignment wrapText="0"/>
    </x:xf>
    <x:xf numFmtId="0" fontId="0" fillId="0" borderId="22" xfId="0" applyNumberFormat="1" applyFont="1" applyFill="1" applyBorder="1" applyAlignment="1">
      <x:alignment wrapText="0"/>
    </x:xf>
    <x:xf numFmtId="0" fontId="0" fillId="0" borderId="23" xfId="0" applyNumberFormat="1" applyFont="1" applyFill="1" applyBorder="1" applyAlignment="1">
      <x:alignment wrapText="0"/>
    </x:xf>
    <x:xf numFmtId="0" fontId="0" fillId="0" borderId="24" xfId="0" applyNumberFormat="1" applyFont="1" applyFill="1" applyBorder="1" applyAlignment="1">
      <x:alignment wrapText="0"/>
    </x:xf>
    <x:xf numFmtId="0" fontId="0" fillId="0" borderId="25" xfId="0" applyNumberFormat="1" applyFont="1" applyFill="1" applyBorder="1" applyAlignment="1">
      <x:alignment wrapText="0"/>
    </x:xf>
    <x:xf numFmtId="0" fontId="0" fillId="0" borderId="26" xfId="0" applyNumberFormat="1" applyFont="1" applyFill="1" applyBorder="1" applyAlignment="1">
      <x:alignment wrapText="0"/>
    </x:xf>
    <x:xf numFmtId="0" fontId="0" fillId="0" borderId="18" xfId="0" applyNumberFormat="1" applyFont="1" applyFill="1" applyBorder="1" applyAlignment="1">
      <x:alignment vertical="top" wrapText="0"/>
    </x:xf>
    <x:xf numFmtId="0" fontId="0" fillId="0" borderId="19" xfId="0" applyNumberFormat="1" applyFont="1" applyFill="1" applyBorder="1" applyAlignment="1">
      <x:alignment vertical="top" wrapText="0"/>
    </x:xf>
    <x:xf numFmtId="0" fontId="0" fillId="0" borderId="20" xfId="0" applyNumberFormat="1" applyFont="1" applyFill="1" applyBorder="1" applyAlignment="1">
      <x:alignment vertical="top" wrapText="0"/>
    </x:xf>
    <x:xf numFmtId="0" fontId="0" fillId="0" borderId="21" xfId="0" applyNumberFormat="1" applyFont="1" applyFill="1" applyBorder="1" applyAlignment="1">
      <x:alignment vertical="top" wrapText="0"/>
    </x:xf>
    <x:xf numFmtId="0" fontId="0" fillId="0" borderId="22" xfId="0" applyNumberFormat="1" applyFont="1" applyFill="1" applyBorder="1" applyAlignment="1">
      <x:alignment vertical="top" wrapText="0"/>
    </x:xf>
    <x:xf numFmtId="0" fontId="0" fillId="0" borderId="23" xfId="0" applyNumberFormat="1" applyFont="1" applyFill="1" applyBorder="1" applyAlignment="1">
      <x:alignment vertical="top" wrapText="0"/>
    </x:xf>
    <x:xf numFmtId="0" fontId="0" fillId="0" borderId="24" xfId="0" applyNumberFormat="1" applyFont="1" applyFill="1" applyBorder="1" applyAlignment="1">
      <x:alignment vertical="top" wrapText="0"/>
    </x:xf>
    <x:xf numFmtId="0" fontId="0" fillId="0" borderId="25" xfId="0" applyNumberFormat="1" applyFont="1" applyFill="1" applyBorder="1" applyAlignment="1">
      <x:alignment vertical="top" wrapText="0"/>
    </x:xf>
    <x:xf numFmtId="0" fontId="0" fillId="0" borderId="26" xfId="0" applyNumberFormat="1" applyFont="1" applyFill="1" applyBorder="1" applyAlignment="1">
      <x:alignment vertical="top" wrapText="0"/>
    </x:xf>
    <x:xf numFmtId="200" fontId="0" fillId="0" borderId="19" xfId="0" applyNumberFormat="1" applyFont="1" applyFill="1" applyBorder="1" applyAlignment="1">
      <x:alignment vertical="top" wrapText="0"/>
    </x:xf>
    <x:xf numFmtId="200" fontId="0" fillId="0" borderId="22" xfId="0" applyNumberFormat="1" applyFont="1" applyFill="1" applyBorder="1" applyAlignment="1">
      <x:alignment vertical="top" wrapText="0"/>
    </x:xf>
    <x:xf numFmtId="200" fontId="0" fillId="0" borderId="25" xfId="0" applyNumberFormat="1" applyFont="1" applyFill="1" applyBorder="1" applyAlignment="1">
      <x:alignment vertical="top" wrapText="0"/>
    </x:xf>
    <x:xf numFmtId="201" fontId="0" fillId="0" borderId="19" xfId="0" applyNumberFormat="1" applyFont="1" applyFill="1" applyBorder="1" applyAlignment="1">
      <x:alignment vertical="top" wrapText="0"/>
    </x:xf>
    <x:xf numFmtId="201" fontId="0" fillId="0" borderId="22" xfId="0" applyNumberFormat="1" applyFont="1" applyFill="1" applyBorder="1" applyAlignment="1">
      <x:alignment vertical="top" wrapText="0"/>
    </x:xf>
    <x:xf numFmtId="201" fontId="0" fillId="0" borderId="25" xfId="0" applyNumberFormat="1" applyFont="1" applyFill="1" applyBorder="1" applyAlignment="1">
      <x:alignment vertical="top" wrapText="0"/>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200" fontId="0" fillId="0" borderId="19" xfId="0" applyNumberFormat="1" applyFont="1" applyFill="1" applyBorder="1" applyAlignment="1">
      <x:alignment vertical="top" wrapText="1"/>
    </x:xf>
    <x:xf numFmtId="201"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201"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200" fontId="0" fillId="0" borderId="25" xfId="0" applyNumberFormat="1" applyFont="1" applyFill="1" applyBorder="1" applyAlignment="1">
      <x:alignment vertical="top" wrapText="1"/>
    </x:xf>
    <x:xf numFmtId="201"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8" fillId="3" borderId="0" xfId="0" applyNumberFormat="1" applyFont="1" applyFill="1" applyBorder="1"/>
    <x:xf numFmtId="0" fontId="8" fillId="3" borderId="17" xfId="0" applyNumberFormat="1" applyFont="1" applyFill="1" applyBorder="1"/>
    <x:xf numFmtId="200" fontId="0" fillId="0" borderId="0" xfId="0" applyNumberFormat="1" applyFont="1" applyFill="1" applyBorder="1"/>
    <x:xf numFmtId="0" fontId="6" fillId="4" borderId="0" xfId="0" applyNumberFormat="1" applyFont="1" applyFill="1" applyBorder="1"/>
    <x:xf numFmtId="0" fontId="0" fillId="9" borderId="0" xfId="0" applyNumberFormat="1" applyFont="1" applyFill="1" applyBorder="1"/>
    <x:xf numFmtId="0" fontId="4" fillId="9" borderId="0" xfId="0" applyNumberFormat="1" applyFont="1" applyFill="1" applyBorder="1"/>
    <x:xf numFmtId="0" fontId="4" fillId="9" borderId="27" xfId="0" applyNumberFormat="1" applyFont="1" applyFill="1" applyBorder="1"/>
    <x:xf numFmtId="0" fontId="4" fillId="9" borderId="28" xfId="0" applyNumberFormat="1" applyFont="1" applyFill="1" applyBorder="1"/>
    <x:xf numFmtId="0" fontId="4" fillId="9" borderId="29" xfId="0" applyNumberFormat="1" applyFont="1" applyFill="1" applyBorder="1"/>
    <x:xf numFmtId="0" fontId="4" fillId="9" borderId="30" xfId="0" applyNumberFormat="1" applyFont="1" applyFill="1" applyBorder="1"/>
    <x:xf numFmtId="0" fontId="4" fillId="9" borderId="31" xfId="0" applyNumberFormat="1" applyFont="1" applyFill="1" applyBorder="1"/>
    <x:xf numFmtId="0" fontId="4" fillId="9" borderId="32" xfId="0" applyNumberFormat="1" applyFont="1" applyFill="1" applyBorder="1"/>
    <x:xf numFmtId="0" fontId="4" fillId="9" borderId="33" xfId="0" applyNumberFormat="1" applyFont="1" applyFill="1" applyBorder="1"/>
    <x:xf numFmtId="0" fontId="4" fillId="9" borderId="34" xfId="0" applyNumberFormat="1" applyFont="1" applyFill="1" applyBorder="1"/>
    <x:xf numFmtId="0" fontId="4" fillId="9" borderId="27" xfId="0" applyNumberFormat="1" applyFont="1" applyFill="1" applyBorder="1" applyAlignment="1">
      <x:alignment wrapText="1"/>
    </x:xf>
    <x:xf numFmtId="0" fontId="4" fillId="9" borderId="28" xfId="0" applyNumberFormat="1" applyFont="1" applyFill="1" applyBorder="1" applyAlignment="1">
      <x:alignment wrapText="1"/>
    </x:xf>
    <x:xf numFmtId="0" fontId="4" fillId="9" borderId="29" xfId="0" applyNumberFormat="1" applyFont="1" applyFill="1" applyBorder="1" applyAlignment="1">
      <x:alignment wrapText="1"/>
    </x:xf>
    <x:xf numFmtId="0" fontId="4" fillId="9" borderId="30" xfId="0" applyNumberFormat="1" applyFont="1" applyFill="1" applyBorder="1" applyAlignment="1">
      <x:alignment wrapText="1"/>
    </x:xf>
    <x:xf numFmtId="0" fontId="4" fillId="9" borderId="0" xfId="0" applyNumberFormat="1" applyFont="1" applyFill="1" applyBorder="1" applyAlignment="1">
      <x:alignment wrapText="1"/>
    </x:xf>
    <x:xf numFmtId="0" fontId="4" fillId="9" borderId="31" xfId="0" applyNumberFormat="1" applyFont="1" applyFill="1" applyBorder="1" applyAlignment="1">
      <x:alignment wrapText="1"/>
    </x:xf>
    <x:xf numFmtId="0" fontId="4" fillId="9" borderId="32" xfId="0" applyNumberFormat="1" applyFont="1" applyFill="1" applyBorder="1" applyAlignment="1">
      <x:alignment wrapText="1"/>
    </x:xf>
    <x:xf numFmtId="0" fontId="4" fillId="9" borderId="33" xfId="0" applyNumberFormat="1" applyFont="1" applyFill="1" applyBorder="1" applyAlignment="1">
      <x:alignment wrapText="1"/>
    </x:xf>
    <x:xf numFmtId="0" fontId="4" fillId="9" borderId="34" xfId="0" applyNumberFormat="1" applyFont="1" applyFill="1" applyBorder="1" applyAlignment="1">
      <x:alignment wrapText="1"/>
    </x:xf>
    <x:xf numFmtId="0" fontId="4" fillId="9" borderId="27" xfId="0" applyNumberFormat="1" applyFont="1" applyFill="1" applyBorder="1" applyAlignment="1">
      <x:alignment vertical="center" wrapText="1"/>
    </x:xf>
    <x:xf numFmtId="0" fontId="4" fillId="9" borderId="28" xfId="0" applyNumberFormat="1" applyFont="1" applyFill="1" applyBorder="1" applyAlignment="1">
      <x:alignment vertical="center" wrapText="1"/>
    </x:xf>
    <x:xf numFmtId="0" fontId="4" fillId="9" borderId="29" xfId="0" applyNumberFormat="1" applyFont="1" applyFill="1" applyBorder="1" applyAlignment="1">
      <x:alignment vertical="center" wrapText="1"/>
    </x:xf>
    <x:xf numFmtId="0" fontId="4" fillId="9" borderId="30" xfId="0" applyNumberFormat="1" applyFont="1" applyFill="1" applyBorder="1" applyAlignment="1">
      <x:alignment vertical="center" wrapText="1"/>
    </x:xf>
    <x:xf numFmtId="0" fontId="4" fillId="9" borderId="0" xfId="0" applyNumberFormat="1" applyFont="1" applyFill="1" applyBorder="1" applyAlignment="1">
      <x:alignment vertical="center" wrapText="1"/>
    </x:xf>
    <x:xf numFmtId="0" fontId="4" fillId="9" borderId="31" xfId="0" applyNumberFormat="1" applyFont="1" applyFill="1" applyBorder="1" applyAlignment="1">
      <x:alignment vertical="center" wrapText="1"/>
    </x:xf>
    <x:xf numFmtId="0" fontId="4" fillId="9" borderId="32" xfId="0" applyNumberFormat="1" applyFont="1" applyFill="1" applyBorder="1" applyAlignment="1">
      <x:alignment vertical="center" wrapText="1"/>
    </x:xf>
    <x:xf numFmtId="0" fontId="4" fillId="9" borderId="33" xfId="0" applyNumberFormat="1" applyFont="1" applyFill="1" applyBorder="1" applyAlignment="1">
      <x:alignment vertical="center" wrapText="1"/>
    </x:xf>
    <x:xf numFmtId="0" fontId="4" fillId="9" borderId="34" xfId="0" applyNumberFormat="1" applyFont="1" applyFill="1" applyBorder="1" applyAlignment="1">
      <x:alignment vertical="center" wrapText="1"/>
    </x:xf>
    <x:xf numFmtId="0" fontId="0" fillId="6" borderId="19" xfId="0" applyNumberFormat="1" applyFont="1" applyFill="1" applyBorder="1" applyAlignment="1">
      <x:alignment vertical="top" wrapText="0"/>
    </x:xf>
    <x:xf numFmtId="0" fontId="0" fillId="6" borderId="22" xfId="0" applyNumberFormat="1" applyFont="1" applyFill="1" applyBorder="1" applyAlignment="1">
      <x:alignment vertical="top" wrapText="0"/>
    </x:xf>
    <x:xf numFmtId="0" fontId="0" fillId="6" borderId="25" xfId="0" applyNumberFormat="1" applyFont="1" applyFill="1" applyBorder="1" applyAlignment="1">
      <x:alignment vertical="top" wrapText="0"/>
    </x:xf>
    <x:xf numFmtId="0" fontId="9" fillId="6" borderId="19" xfId="0" applyNumberFormat="1" applyFont="1" applyFill="1" applyBorder="1" applyAlignment="1">
      <x:alignment vertical="top" wrapText="0"/>
    </x:xf>
    <x:xf numFmtId="0" fontId="9" fillId="6" borderId="22" xfId="0" applyNumberFormat="1" applyFont="1" applyFill="1" applyBorder="1" applyAlignment="1">
      <x:alignment vertical="top" wrapText="0"/>
    </x:xf>
    <x:xf numFmtId="0" fontId="9" fillId="6" borderId="25"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f4481e716244a9" /><Relationship Type="http://schemas.openxmlformats.org/officeDocument/2006/relationships/theme" Target="/xl/theme/theme1.xml" Id="Rbf4a90bebacc486d" /><Relationship Type="http://schemas.openxmlformats.org/officeDocument/2006/relationships/sharedStrings" Target="/xl/sharedStrings.xml" Id="R02aa5bca761641d4" /><Relationship Type="http://schemas.openxmlformats.org/officeDocument/2006/relationships/worksheet" Target="/xl/worksheets/sheet1.xml" Id="Rbeb286647d2d4bf0" /><Relationship Type="http://schemas.openxmlformats.org/officeDocument/2006/relationships/worksheet" Target="/xl/worksheets/sheet2.xml" Id="R7cff28a0627e478f" /><Relationship Type="http://schemas.openxmlformats.org/officeDocument/2006/relationships/worksheet" Target="/xl/worksheets/sheet3.xml" Id="Rf30091064e894990" /><Relationship Type="http://schemas.openxmlformats.org/officeDocument/2006/relationships/worksheet" Target="/xl/worksheets/sheet4.xml" Id="Rb4a006a2f8b341e7" /><Relationship Type="http://schemas.openxmlformats.org/officeDocument/2006/relationships/worksheet" Target="/xl/worksheets/sheet5.xml" Id="R616c9d60a8154516" /><Relationship Type="http://schemas.openxmlformats.org/officeDocument/2006/relationships/worksheet" Target="/xl/worksheets/sheet6.xml" Id="Rca00c506d838454e" /><Relationship Type="http://schemas.openxmlformats.org/officeDocument/2006/relationships/worksheet" Target="/xl/worksheets/sheet7.xml" Id="Re285002f31dc4f7c" /><Relationship Type="http://schemas.openxmlformats.org/officeDocument/2006/relationships/worksheet" Target="/xl/worksheets/sheet8.xml" Id="R9fc93a5c9e434163" /><Relationship Type="http://schemas.openxmlformats.org/officeDocument/2006/relationships/worksheet" Target="/xl/worksheets/sheet9.xml" Id="Ra5758bc6527c456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9f8943abc5b440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Modeled Annual Sales by Category and Market</a:t>
            </a:r>
          </a:p>
        </c:rich>
      </c:tx>
      <c:overlay val="0"/>
    </c:title>
    <c:plotArea>
      <c:barChart>
        <c:barDir val="col"/>
        <c:varyColors val="0"/>
        <c:ser>
          <c:idx val="0"/>
          <c:order val="0"/>
          <c:tx>
            <c:v>USA est. sales USD M</c:v>
          </c:tx>
          <c:cat>
            <c:strRef>
              <c:f>'Executive Summary'!$A$13:$A$17</c:f>
              <c:strCache>
                <c:ptCount val="0"/>
              </c:strCache>
            </c:strRef>
          </c:cat>
          <c:val>
            <c:numRef>
              <c:f>'Executive Summary'!$B$13:$B$17</c:f>
              <c:numCache>
                <c:formatCode>$0.0</c:formatCode>
                <c:ptCount val="0"/>
              </c:numCache>
            </c:numRef>
          </c:val>
        </c:ser>
        <c:ser>
          <c:idx val="1"/>
          <c:order val="1"/>
          <c:tx>
            <c:v>Canada est. sales USD M</c:v>
          </c:tx>
          <c:cat>
            <c:strRef>
              <c:f>'Executive Summary'!$A$13:$A$17</c:f>
              <c:strCache>
                <c:ptCount val="0"/>
              </c:strCache>
            </c:strRef>
          </c:cat>
          <c:val>
            <c:numRef>
              <c:f>'Executive Summary'!$C$13:$C$17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4</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f8943abc5b4408"/>
        </a:graphicData>
      </a:graphic>
    </xdr:graphicFrame>
    <xdr:clientData/>
  </xdr:twoCellAnchor>
</xdr:wsDr>
</file>

<file path=xl/tables/table1.xml><?xml version="1.0" encoding="utf-8"?>
<x:table xmlns:x="http://schemas.openxmlformats.org/spreadsheetml/2006/main" id="2" name="BrandRepository" displayName="BrandRepository" ref="A1:AE35" headerRowCount="1" totalsRowCount="0" totalsRowShown="0">
  <x:autoFilter ref="A1:AE35"/>
  <x:tableColumns count="31">
    <x:tableColumn id="1" name="Brand-Market ID"/>
    <x:tableColumn id="2" name="Market"/>
    <x:tableColumn id="3" name="Brand"/>
    <x:tableColumn id="4" name="Primary Category"/>
    <x:tableColumn id="5" name="Positioning"/>
    <x:tableColumn id="6" name="Availability Status"/>
    <x:tableColumn id="7" name="Availability Confidence"/>
    <x:tableColumn id="8" name="Pool Type"/>
    <x:tableColumn id="9" name="Sales Pool USD M"/>
    <x:tableColumn id="10" name="Brand Allocation %"/>
    <x:tableColumn id="11" name="Est. Sales Low USD M"/>
    <x:tableColumn id="12" name="Est. Sales Mid USD M"/>
    <x:tableColumn id="13" name="Est. Sales High USD M"/>
    <x:tableColumn id="14" name="Est. In-Store %"/>
    <x:tableColumn id="15" name="Est. Online %"/>
    <x:tableColumn id="16" name="Top Retailers + Est. Spend USD M"/>
    <x:tableColumn id="17" name="Est. Marketing Spend USD M"/>
    <x:tableColumn id="18" name="Market / Category Share"/>
    <x:tableColumn id="19" name="Share Scope / Gap"/>
    <x:tableColumn id="20" name="Brand Assets &amp; Affinity"/>
    <x:tableColumn id="21" name="Current Marketing Themes"/>
    <x:tableColumn id="22" name="General Sentiment"/>
    <x:tableColumn id="23" name="Sentiment Method"/>
    <x:tableColumn id="24" name="Q4 2026 Focus"/>
    <x:tableColumn id="25" name="Current Innovation / Pipeline"/>
    <x:tableColumn id="26" name="Brand Fact Source"/>
    <x:tableColumn id="27" name="Availability Source"/>
    <x:tableColumn id="28" name="Commercial Fact Source"/>
    <x:tableColumn id="29" name="Current 2026 Source"/>
    <x:tableColumn id="30" name="Last Verified"/>
    <x:tableColumn id="31" name="Fact / Estimate Classification"/>
  </x:tableColumns>
  <x:tableStyleInfo name="TableStyleMedium2" showFirstColumn="0" showLastColumn="0" showRowStripes="1" showColumnStripes="0"/>
</x:table>
</file>

<file path=xl/tables/table2.xml><?xml version="1.0" encoding="utf-8"?>
<x:table xmlns:x="http://schemas.openxmlformats.org/spreadsheetml/2006/main" id="3" name="RetailerModel" displayName="RetailerModel" ref="A1:H194" headerRowCount="1" totalsRowCount="0" totalsRowShown="0">
  <x:autoFilter ref="A1:H194"/>
  <x:tableColumns count="8">
    <x:tableColumn id="1" name="Market"/>
    <x:tableColumn id="2" name="Brand"/>
    <x:tableColumn id="3" name="Category"/>
    <x:tableColumn id="4" name="Retailer / Channel"/>
    <x:tableColumn id="5" name="Allocation %"/>
    <x:tableColumn id="6" name="Brand Sales Mid USD M"/>
    <x:tableColumn id="7" name="Est. Yearly Spend USD M"/>
    <x:tableColumn id="8" name="Method"/>
  </x:tableColumns>
  <x:tableStyleInfo name="TableStyleMedium2" showFirstColumn="0" showLastColumn="0" showRowStripes="1" showColumnStripes="0"/>
</x:table>
</file>

<file path=xl/tables/table3.xml><?xml version="1.0" encoding="utf-8"?>
<x:table xmlns:x="http://schemas.openxmlformats.org/spreadsheetml/2006/main" id="1" name="BrandAssumptions" displayName="BrandAssumptions" ref="A1:K35" headerRowCount="1" totalsRowCount="0" totalsRowShown="0">
  <x:autoFilter ref="A1:K35"/>
  <x:tableColumns count="11">
    <x:tableColumn id="1" name="Market"/>
    <x:tableColumn id="2" name="Brand"/>
    <x:tableColumn id="3" name="Pool Type"/>
    <x:tableColumn id="4" name="Sales Pool USD M"/>
    <x:tableColumn id="5" name="Brand Allocation %"/>
    <x:tableColumn id="6" name="Low Factor"/>
    <x:tableColumn id="7" name="High Factor"/>
    <x:tableColumn id="8" name="In-Store %"/>
    <x:tableColumn id="9" name="Online %"/>
    <x:tableColumn id="10" name="Advertising Intensity"/>
    <x:tableColumn id="11" name="Pool / Model Basis"/>
  </x:tableColumns>
  <x:tableStyleInfo name="TableStyleMedium2" showFirstColumn="0" showLastColumn="0" showRowStripes="1" showColumnStripes="0"/>
</x:table>
</file>

<file path=xl/tables/table4.xml><?xml version="1.0" encoding="utf-8"?>
<x:table xmlns:x="http://schemas.openxmlformats.org/spreadsheetml/2006/main" id="4" name="BrandSources" displayName="BrandSources" ref="A1:G611" headerRowCount="1" totalsRowCount="0" totalsRowShown="0">
  <x:autoFilter ref="A1:G611"/>
  <x:tableColumns count="7">
    <x:tableColumn id="1" name="Source ID"/>
    <x:tableColumn id="2" name="Source URL"/>
    <x:tableColumn id="3" name="Source Type"/>
    <x:tableColumn id="4" name="Evidence Tier"/>
    <x:tableColumn id="5" name="Claim Supported"/>
    <x:tableColumn id="6" name="Used In"/>
    <x:tableColumn id="7" name="Captured Date"/>
  </x:tableColumns>
  <x:tableStyleInfo name="TableStyleMedium2" showFirstColumn="0" showLastColumn="0" showRowStripes="1" showColumnStripes="0"/>
</x:table>
</file>

<file path=xl/tables/table5.xml><?xml version="1.0" encoding="utf-8"?>
<x:table xmlns:x="http://schemas.openxmlformats.org/spreadsheetml/2006/main" id="5" name="BrandCoverageGaps" displayName="BrandCoverageGaps" ref="A1:E7" headerRowCount="1" totalsRowCount="0" totalsRowShown="0">
  <x:autoFilter ref="A1:E7"/>
  <x:tableColumns count="5">
    <x:tableColumn id="1" name="Market"/>
    <x:tableColumn id="2" name="Candidate / Metric"/>
    <x:tableColumn id="3" name="Status"/>
    <x:tableColumn id="4" name="Reason"/>
    <x:tableColumn id="5" name="Next Action"/>
  </x:tableColumns>
  <x:tableStyleInfo name="TableStyleMedium2" showFirstColumn="0" showLastColumn="0" showRowStripes="1" showColumnStripes="0"/>
</x:table>
</file>

<file path=xl/tables/table6.xml><?xml version="1.0" encoding="utf-8"?>
<x:table xmlns:x="http://schemas.openxmlformats.org/spreadsheetml/2006/main" id="6" name="BrandDictionary" displayName="BrandDictionary" ref="A1:C10" headerRowCount="1" totalsRowCount="0" totalsRowShown="0">
  <x:autoFilter ref="A1:C10"/>
  <x:tableColumns count="3">
    <x:tableColumn id="1" name="Field Group"/>
    <x:tableColumn id="2" name="Definition"/>
    <x:tableColumn id="3" name="Classification"/>
  </x:tableColumns>
  <x:tableStyleInfo name="TableStyleMedium2" showFirstColumn="0" showLastColumn="0" showRowStripes="1" showColumnStripes="0"/>
</x:table>
</file>

<file path=xl/tables/table7.xml><?xml version="1.0" encoding="utf-8"?>
<x:table xmlns:x="http://schemas.openxmlformats.org/spreadsheetml/2006/main" id="7" name="BrandQA" displayName="BrandQA" ref="A1:D9" headerRowCount="1" totalsRowCount="0" totalsRowShown="0">
  <x:autoFilter ref="A1:D9"/>
  <x:tableColumns count="4">
    <x:tableColumn id="1" name="QA Check"/>
    <x:tableColumn id="2" name="Result"/>
    <x:tableColumn id="3" name="Status"/>
    <x:tableColumn id="4" name="Expectation / Metho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6bd3a4275ed4098" /></Relationships>
</file>

<file path=xl/worksheets/_rels/sheet3.xml.rels>&#65279;<?xml version="1.0" encoding="utf-8"?><Relationships xmlns="http://schemas.openxmlformats.org/package/2006/relationships"><Relationship Type="http://schemas.openxmlformats.org/officeDocument/2006/relationships/table" Target="/xl/tables/table1.xml" Id="Rd45d184d731e497f" /></Relationships>
</file>

<file path=xl/worksheets/_rels/sheet4.xml.rels>&#65279;<?xml version="1.0" encoding="utf-8"?><Relationships xmlns="http://schemas.openxmlformats.org/package/2006/relationships"><Relationship Type="http://schemas.openxmlformats.org/officeDocument/2006/relationships/table" Target="/xl/tables/table2.xml" Id="Ra7e63997d0874868" /></Relationships>
</file>

<file path=xl/worksheets/_rels/sheet5.xml.rels>&#65279;<?xml version="1.0" encoding="utf-8"?><Relationships xmlns="http://schemas.openxmlformats.org/package/2006/relationships"><Relationship Type="http://schemas.openxmlformats.org/officeDocument/2006/relationships/table" Target="/xl/tables/table3.xml" Id="R909f4df940ea4e87" /></Relationships>
</file>

<file path=xl/worksheets/_rels/sheet6.xml.rels>&#65279;<?xml version="1.0" encoding="utf-8"?><Relationships xmlns="http://schemas.openxmlformats.org/package/2006/relationships"><Relationship Type="http://schemas.openxmlformats.org/officeDocument/2006/relationships/table" Target="/xl/tables/table4.xml" Id="Rd0932cad81804ed8" /></Relationships>
</file>

<file path=xl/worksheets/_rels/sheet7.xml.rels>&#65279;<?xml version="1.0" encoding="utf-8"?><Relationships xmlns="http://schemas.openxmlformats.org/package/2006/relationships"><Relationship Type="http://schemas.openxmlformats.org/officeDocument/2006/relationships/table" Target="/xl/tables/table5.xml" Id="R15ef07a6d7f04f1e" /></Relationships>
</file>

<file path=xl/worksheets/_rels/sheet8.xml.rels>&#65279;<?xml version="1.0" encoding="utf-8"?><Relationships xmlns="http://schemas.openxmlformats.org/package/2006/relationships"><Relationship Type="http://schemas.openxmlformats.org/officeDocument/2006/relationships/table" Target="/xl/tables/table6.xml" Id="R129361c1b7d64285" /></Relationships>
</file>

<file path=xl/worksheets/_rels/sheet9.xml.rels>&#65279;<?xml version="1.0" encoding="utf-8"?><Relationships xmlns="http://schemas.openxmlformats.org/package/2006/relationships"><Relationship Type="http://schemas.openxmlformats.org/officeDocument/2006/relationships/table" Target="/xl/tables/table7.xml" Id="R77cacac491cd430f"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34" customHeight="1">
      <x:c r="A1" s="4" t="str">
        <x:v>Brand &amp; Commercial Executive Summary</x:v>
      </x:c>
      <x:c r="B1" s="4" t="str">
        <x:v>Brand &amp; Commercial Executive Summary</x:v>
      </x:c>
      <x:c r="C1" s="4" t="str">
        <x:v>Brand &amp; Commercial Executive Summary</x:v>
      </x:c>
      <x:c r="D1" s="4" t="str">
        <x:v>Brand &amp; Commercial Executive Summary</x:v>
      </x:c>
      <x:c r="E1" s="4" t="str">
        <x:v>Brand &amp; Commercial Executive Summary</x:v>
      </x:c>
      <x:c r="F1" s="4" t="str">
        <x:v>Brand &amp; Commercial Executive Summary</x:v>
      </x:c>
      <x:c r="G1" s="4" t="str">
        <x:v>Brand &amp; Commercial Executive Summary</x:v>
      </x:c>
      <x:c r="H1" s="4" t="str">
        <x:v>Brand &amp; Commercial Executive Summary</x:v>
      </x:c>
      <x:c r="I1" s="4" t="str">
        <x:v>Brand &amp; Commercial Executive Summary</x:v>
      </x:c>
      <x:c r="J1" s="4" t="str">
        <x:v>Brand &amp; Commercial Executive Summary</x:v>
      </x:c>
      <x:c r="K1" s="4" t="str">
        <x:v>Brand &amp; Commercial Executive Summary</x:v>
      </x:c>
      <x:c r="L1" s="4" t="str">
        <x:v>Brand &amp; Commercial Executive Summary</x:v>
      </x:c>
      <x:c r="M1" s="4" t="str">
        <x:v>Brand &amp; Commercial Executive Summary</x:v>
      </x:c>
      <x:c r="N1" s="4" t="str">
        <x:v>Brand &amp; Commercial Executive Summary</x:v>
      </x:c>
    </x:row>
    <x:row r="2" ht="28" customHeight="1">
      <x:c r="A2" s="8" t="str">
        <x:v>34 brand-market rows | USA + Canada | Facts and estimates separated | As of 2026-08-31</x:v>
      </x:c>
      <x:c r="B2" s="8" t="str">
        <x:v>34 brand-market rows | USA + Canada | Facts and estimates separated | As of 2026-08-31</x:v>
      </x:c>
      <x:c r="C2" s="8" t="str">
        <x:v>34 brand-market rows | USA + Canada | Facts and estimates separated | As of 2026-08-31</x:v>
      </x:c>
      <x:c r="D2" s="8" t="str">
        <x:v>34 brand-market rows | USA + Canada | Facts and estimates separated | As of 2026-08-31</x:v>
      </x:c>
      <x:c r="E2" s="8" t="str">
        <x:v>34 brand-market rows | USA + Canada | Facts and estimates separated | As of 2026-08-31</x:v>
      </x:c>
      <x:c r="F2" s="8" t="str">
        <x:v>34 brand-market rows | USA + Canada | Facts and estimates separated | As of 2026-08-31</x:v>
      </x:c>
      <x:c r="G2" s="8" t="str">
        <x:v>34 brand-market rows | USA + Canada | Facts and estimates separated | As of 2026-08-31</x:v>
      </x:c>
      <x:c r="H2" s="8" t="str">
        <x:v>34 brand-market rows | USA + Canada | Facts and estimates separated | As of 2026-08-31</x:v>
      </x:c>
      <x:c r="I2" s="8" t="str">
        <x:v>34 brand-market rows | USA + Canada | Facts and estimates separated | As of 2026-08-31</x:v>
      </x:c>
      <x:c r="J2" s="8" t="str">
        <x:v>34 brand-market rows | USA + Canada | Facts and estimates separated | As of 2026-08-31</x:v>
      </x:c>
      <x:c r="K2" s="8" t="str">
        <x:v>34 brand-market rows | USA + Canada | Facts and estimates separated | As of 2026-08-31</x:v>
      </x:c>
      <x:c r="L2" s="8" t="str">
        <x:v>34 brand-market rows | USA + Canada | Facts and estimates separated | As of 2026-08-31</x:v>
      </x:c>
      <x:c r="M2" s="8" t="str">
        <x:v>34 brand-market rows | USA + Canada | Facts and estimates separated | As of 2026-08-31</x:v>
      </x:c>
      <x:c r="N2" s="8" t="str">
        <x:v>34 brand-market rows | USA + Canada | Facts and estimates separated | As of 2026-08-31</x:v>
      </x:c>
    </x:row>
    <x:row r="3" ht="28" customHeight="1">
      <x:c r="A3" s="8" t="str">
        <x:v>34 brand-market rows | USA + Canada | Facts and estimates separated | As of 2026-08-31</x:v>
      </x:c>
      <x:c r="B3" s="8" t="str">
        <x:v>34 brand-market rows | USA + Canada | Facts and estimates separated | As of 2026-08-31</x:v>
      </x:c>
      <x:c r="C3" s="8" t="str">
        <x:v>34 brand-market rows | USA + Canada | Facts and estimates separated | As of 2026-08-31</x:v>
      </x:c>
      <x:c r="D3" s="8" t="str">
        <x:v>34 brand-market rows | USA + Canada | Facts and estimates separated | As of 2026-08-31</x:v>
      </x:c>
      <x:c r="E3" s="8" t="str">
        <x:v>34 brand-market rows | USA + Canada | Facts and estimates separated | As of 2026-08-31</x:v>
      </x:c>
      <x:c r="F3" s="8" t="str">
        <x:v>34 brand-market rows | USA + Canada | Facts and estimates separated | As of 2026-08-31</x:v>
      </x:c>
      <x:c r="G3" s="8" t="str">
        <x:v>34 brand-market rows | USA + Canada | Facts and estimates separated | As of 2026-08-31</x:v>
      </x:c>
      <x:c r="H3" s="8" t="str">
        <x:v>34 brand-market rows | USA + Canada | Facts and estimates separated | As of 2026-08-31</x:v>
      </x:c>
      <x:c r="I3" s="8" t="str">
        <x:v>34 brand-market rows | USA + Canada | Facts and estimates separated | As of 2026-08-31</x:v>
      </x:c>
      <x:c r="J3" s="8" t="str">
        <x:v>34 brand-market rows | USA + Canada | Facts and estimates separated | As of 2026-08-31</x:v>
      </x:c>
      <x:c r="K3" s="8" t="str">
        <x:v>34 brand-market rows | USA + Canada | Facts and estimates separated | As of 2026-08-31</x:v>
      </x:c>
      <x:c r="L3" s="8" t="str">
        <x:v>34 brand-market rows | USA + Canada | Facts and estimates separated | As of 2026-08-31</x:v>
      </x:c>
      <x:c r="M3" s="8" t="str">
        <x:v>34 brand-market rows | USA + Canada | Facts and estimates separated | As of 2026-08-31</x:v>
      </x:c>
      <x:c r="N3" s="8" t="str">
        <x:v>34 brand-market rows | USA + Canada | Facts and estimates separated | As of 2026-08-31</x:v>
      </x:c>
    </x:row>
    <x:row r="5">
      <x:c r="A5" s="124" t="str">
        <x:v>KPI</x:v>
      </x:c>
      <x:c r="B5" s="124" t="str">
        <x:v>Value</x:v>
      </x:c>
    </x:row>
    <x:row r="6">
      <x:c r="A6" s="174" t="str">
        <x:v>Brand-market rows</x:v>
      </x:c>
      <x:c r="B6" s="174" t="n">
        <x:v>34</x:v>
      </x:c>
    </x:row>
    <x:row r="7">
      <x:c r="A7" s="174" t="str">
        <x:v>U.S. brands</x:v>
      </x:c>
      <x:c r="B7" s="174" t="n">
        <x:v>17</x:v>
      </x:c>
    </x:row>
    <x:row r="8">
      <x:c r="A8" s="174" t="str">
        <x:v>Canada brands</x:v>
      </x:c>
      <x:c r="B8" s="174" t="n">
        <x:v>17</x:v>
      </x:c>
    </x:row>
    <x:row r="9">
      <x:c r="A9" s="174" t="str">
        <x:v>Source URLs</x:v>
      </x:c>
      <x:c r="B9" s="174" t="n">
        <x:v>610</x:v>
      </x:c>
    </x:row>
    <x:row r="12">
      <x:c r="A12" s="124" t="str">
        <x:v>Category</x:v>
      </x:c>
      <x:c r="B12" s="124" t="str">
        <x:v>USA est. sales USD M</x:v>
      </x:c>
      <x:c r="C12" s="124" t="str">
        <x:v>Canada est. sales USD M</x:v>
      </x:c>
    </x:row>
    <x:row r="13">
      <x:c r="A13" t="str">
        <x:v>Oral Care</x:v>
      </x:c>
      <x:c r="B13" s="175" t="n">
        <x:f>SUMIFS('Brand Repository'!$L$2:$L$35,'Brand Repository'!$B$2:$B$35,"USA",'Brand Repository'!$D$2:$D$35,$A13)</x:f>
        <x:v>1546.28</x:v>
      </x:c>
      <x:c r="C13" s="175" t="n">
        <x:f>SUMIFS('Brand Repository'!$L$2:$L$35,'Brand Repository'!$B$2:$B$35,"CA",'Brand Repository'!$D$2:$D$35,$A13)</x:f>
        <x:v>190.82500000000002</x:v>
      </x:c>
    </x:row>
    <x:row r="14">
      <x:c r="A14" t="str">
        <x:v>Personal Care</x:v>
      </x:c>
      <x:c r="B14" s="175" t="n">
        <x:f>SUMIFS('Brand Repository'!$L$2:$L$35,'Brand Repository'!$B$2:$B$35,"USA",'Brand Repository'!$D$2:$D$35,$A14)</x:f>
        <x:v>611.3199999999999</x:v>
      </x:c>
      <x:c r="C14" s="175" t="n">
        <x:f>SUMIFS('Brand Repository'!$L$2:$L$35,'Brand Repository'!$B$2:$B$35,"CA",'Brand Repository'!$D$2:$D$35,$A14)</x:f>
        <x:v>64.20700000000001</x:v>
      </x:c>
    </x:row>
    <x:row r="15">
      <x:c r="A15" t="str">
        <x:v>Home Care</x:v>
      </x:c>
      <x:c r="B15" s="175" t="n">
        <x:f>SUMIFS('Brand Repository'!$L$2:$L$35,'Brand Repository'!$B$2:$B$35,"USA",'Brand Repository'!$D$2:$D$35,$A15)</x:f>
        <x:v>773.14</x:v>
      </x:c>
      <x:c r="C15" s="175" t="n">
        <x:f>SUMIFS('Brand Repository'!$L$2:$L$35,'Brand Repository'!$B$2:$B$35,"CA",'Brand Repository'!$D$2:$D$35,$A15)</x:f>
        <x:v>83.06499999999998</x:v>
      </x:c>
    </x:row>
    <x:row r="16">
      <x:c r="A16" t="str">
        <x:v>Skin Health</x:v>
      </x:c>
      <x:c r="B16" s="175" t="n">
        <x:f>SUMIFS('Brand Repository'!$L$2:$L$35,'Brand Repository'!$B$2:$B$35,"USA",'Brand Repository'!$D$2:$D$35,$A16)</x:f>
        <x:v>449.50000000000006</x:v>
      </x:c>
      <x:c r="C16" s="175" t="n">
        <x:f>SUMIFS('Brand Repository'!$L$2:$L$35,'Brand Repository'!$B$2:$B$35,"CA",'Brand Repository'!$D$2:$D$35,$A16)</x:f>
        <x:v>33.675</x:v>
      </x:c>
    </x:row>
    <x:row r="17">
      <x:c r="A17" t="str">
        <x:v>Pet Nutrition</x:v>
      </x:c>
      <x:c r="B17" s="175" t="n">
        <x:f>SUMIFS('Brand Repository'!$L$2:$L$35,'Brand Repository'!$B$2:$B$35,"USA",'Brand Repository'!$D$2:$D$35,$A17)</x:f>
        <x:v>3062</x:v>
      </x:c>
      <x:c r="C17" s="175" t="n">
        <x:f>SUMIFS('Brand Repository'!$L$2:$L$35,'Brand Repository'!$B$2:$B$35,"CA",'Brand Repository'!$D$2:$D$35,$A17)</x:f>
        <x:v>280</x:v>
      </x:c>
    </x:row>
    <x:row r="20">
      <x:c r="A20" s="176" t="str">
        <x:v>2H / Q4 2026 priority signals</x:v>
      </x:c>
      <x:c r="B20" s="176"/>
      <x:c r="C20" s="176"/>
      <x:c r="D20" s="176"/>
      <x:c r="E20" s="176"/>
      <x:c r="F20" s="176"/>
      <x:c r="G20" s="176"/>
      <x:c r="H20" s="176"/>
      <x:c r="I20" s="176"/>
      <x:c r="J20" s="176"/>
      <x:c r="K20" s="176"/>
      <x:c r="L20" s="176"/>
      <x:c r="M20" s="176"/>
      <x:c r="N20" s="176"/>
    </x:row>
    <x:row r="21">
      <x:c r="A21" s="30" t="str">
        <x:v>Colgate: premium Optic White Pro Series with ActivShine and stronger brand support.  Fabuloso: 3-in-1 Clean Spray and Watermelon momentum.  Hill’s Prescription Diet: therapeutic share gains through e-commerce and omni-channel activation.  Hill’s Science Diet: phased Single Protein fresh-dog-food rollout.  Company-wide: premium science-led innovation, perceivable brand superiority and increased advertising.</x:v>
      </x:c>
      <x:c r="B21" s="31"/>
      <x:c r="C21" s="31"/>
      <x:c r="D21" s="31"/>
      <x:c r="E21" s="31"/>
      <x:c r="F21" s="31"/>
      <x:c r="G21" s="31"/>
      <x:c r="H21" s="31"/>
      <x:c r="I21" s="31"/>
      <x:c r="J21" s="31"/>
      <x:c r="K21" s="31"/>
      <x:c r="L21" s="31"/>
      <x:c r="M21" s="31"/>
      <x:c r="N21" s="32"/>
    </x:row>
    <x:row r="22">
      <x:c r="A22" s="33"/>
      <x:c r="B22" s="34"/>
      <x:c r="C22" s="34"/>
      <x:c r="D22" s="34"/>
      <x:c r="E22" s="34"/>
      <x:c r="F22" s="34"/>
      <x:c r="G22" s="34"/>
      <x:c r="H22" s="34"/>
      <x:c r="I22" s="34"/>
      <x:c r="J22" s="34"/>
      <x:c r="K22" s="34"/>
      <x:c r="L22" s="34"/>
      <x:c r="M22" s="34"/>
      <x:c r="N22" s="35"/>
    </x:row>
    <x:row r="23">
      <x:c r="A23" s="33"/>
      <x:c r="B23" s="34"/>
      <x:c r="C23" s="34"/>
      <x:c r="D23" s="34"/>
      <x:c r="E23" s="34"/>
      <x:c r="F23" s="34"/>
      <x:c r="G23" s="34"/>
      <x:c r="H23" s="34"/>
      <x:c r="I23" s="34"/>
      <x:c r="J23" s="34"/>
      <x:c r="K23" s="34"/>
      <x:c r="L23" s="34"/>
      <x:c r="M23" s="34"/>
      <x:c r="N23" s="35"/>
    </x:row>
    <x:row r="24">
      <x:c r="A24" s="33"/>
      <x:c r="B24" s="34"/>
      <x:c r="C24" s="34"/>
      <x:c r="D24" s="34"/>
      <x:c r="E24" s="34"/>
      <x:c r="F24" s="34"/>
      <x:c r="G24" s="34"/>
      <x:c r="H24" s="34"/>
      <x:c r="I24" s="34"/>
      <x:c r="J24" s="34"/>
      <x:c r="K24" s="34"/>
      <x:c r="L24" s="34"/>
      <x:c r="M24" s="34"/>
      <x:c r="N24" s="35"/>
    </x:row>
    <x:row r="25">
      <x:c r="A25" s="33"/>
      <x:c r="B25" s="34"/>
      <x:c r="C25" s="34"/>
      <x:c r="D25" s="34"/>
      <x:c r="E25" s="34"/>
      <x:c r="F25" s="34"/>
      <x:c r="G25" s="34"/>
      <x:c r="H25" s="34"/>
      <x:c r="I25" s="34"/>
      <x:c r="J25" s="34"/>
      <x:c r="K25" s="34"/>
      <x:c r="L25" s="34"/>
      <x:c r="M25" s="34"/>
      <x:c r="N25" s="35"/>
    </x:row>
    <x:row r="26">
      <x:c r="A26" s="36"/>
      <x:c r="B26" s="37"/>
      <x:c r="C26" s="37"/>
      <x:c r="D26" s="37"/>
      <x:c r="E26" s="37"/>
      <x:c r="F26" s="37"/>
      <x:c r="G26" s="37"/>
      <x:c r="H26" s="37"/>
      <x:c r="I26" s="37"/>
      <x:c r="J26" s="37"/>
      <x:c r="K26" s="37"/>
      <x:c r="L26" s="37"/>
      <x:c r="M26" s="37"/>
      <x:c r="N26" s="38"/>
    </x:row>
    <x:row r="29">
      <x:c r="A29" s="91" t="str">
        <x:v>Critical caveat</x:v>
      </x:c>
      <x:c r="B29" s="91"/>
      <x:c r="C29" s="91"/>
      <x:c r="D29" s="91"/>
      <x:c r="E29" s="91"/>
      <x:c r="F29" s="91"/>
      <x:c r="G29" s="91"/>
      <x:c r="H29" s="91"/>
      <x:c r="I29" s="91"/>
      <x:c r="J29" s="91"/>
      <x:c r="K29" s="91"/>
      <x:c r="L29" s="91"/>
      <x:c r="M29" s="91"/>
      <x:c r="N29" s="91"/>
    </x:row>
    <x:row r="30">
      <x:c r="A30" s="196" t="str">
        <x:v>Brand sales, channel mix, retailer spend and marketing spend are modeled—not company-reported. Use Assumptions to edit the model. Local brand shares are unavailable publicly except the scoped U.S. toothpaste/manual-toothbrush figures.</x:v>
      </x:c>
      <x:c r="B30" s="197"/>
      <x:c r="C30" s="197"/>
      <x:c r="D30" s="197"/>
      <x:c r="E30" s="197"/>
      <x:c r="F30" s="197"/>
      <x:c r="G30" s="197"/>
      <x:c r="H30" s="197"/>
      <x:c r="I30" s="197"/>
      <x:c r="J30" s="197"/>
      <x:c r="K30" s="197"/>
      <x:c r="L30" s="197"/>
      <x:c r="M30" s="197"/>
      <x:c r="N30" s="198"/>
    </x:row>
    <x:row r="31">
      <x:c r="A31" s="199"/>
      <x:c r="B31" s="200"/>
      <x:c r="C31" s="200"/>
      <x:c r="D31" s="200"/>
      <x:c r="E31" s="200"/>
      <x:c r="F31" s="200"/>
      <x:c r="G31" s="200"/>
      <x:c r="H31" s="200"/>
      <x:c r="I31" s="200"/>
      <x:c r="J31" s="200"/>
      <x:c r="K31" s="200"/>
      <x:c r="L31" s="200"/>
      <x:c r="M31" s="200"/>
      <x:c r="N31" s="201"/>
    </x:row>
    <x:row r="32">
      <x:c r="A32" s="199"/>
      <x:c r="B32" s="200"/>
      <x:c r="C32" s="200"/>
      <x:c r="D32" s="200"/>
      <x:c r="E32" s="200"/>
      <x:c r="F32" s="200"/>
      <x:c r="G32" s="200"/>
      <x:c r="H32" s="200"/>
      <x:c r="I32" s="200"/>
      <x:c r="J32" s="200"/>
      <x:c r="K32" s="200"/>
      <x:c r="L32" s="200"/>
      <x:c r="M32" s="200"/>
      <x:c r="N32" s="201"/>
    </x:row>
    <x:row r="33">
      <x:c r="A33" s="202"/>
      <x:c r="B33" s="203"/>
      <x:c r="C33" s="203"/>
      <x:c r="D33" s="203"/>
      <x:c r="E33" s="203"/>
      <x:c r="F33" s="203"/>
      <x:c r="G33" s="203"/>
      <x:c r="H33" s="203"/>
      <x:c r="I33" s="203"/>
      <x:c r="J33" s="203"/>
      <x:c r="K33" s="203"/>
      <x:c r="L33" s="203"/>
      <x:c r="M33" s="203"/>
      <x:c r="N33" s="204"/>
    </x:row>
  </x:sheetData>
  <x:mergeCells>
    <x:mergeCell ref="A1:N1"/>
    <x:mergeCell ref="A2:N3"/>
    <x:mergeCell ref="A20:N20"/>
    <x:mergeCell ref="A21:N26"/>
    <x:mergeCell ref="A29:N29"/>
    <x:mergeCell ref="A30:N33"/>
  </x:mergeCells>
  <x:pageMargins left="0.7" right="0.7" top="0.75" bottom="0.75" header="0.3" footer="0.3"/>
  <x:drawing xmlns:r="http://schemas.openxmlformats.org/officeDocument/2006/relationships" r:id="Rb6bd3a4275ed4098"/>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34" customHeight="1">
      <x:c r="A1" s="4" t="str">
        <x:v>Colgate-Palmolive Brand &amp; Commercial Repository</x:v>
      </x:c>
      <x:c r="B1" s="4" t="str">
        <x:v>Colgate-Palmolive Brand &amp; Commercial Repository</x:v>
      </x:c>
      <x:c r="C1" s="4" t="str">
        <x:v>Colgate-Palmolive Brand &amp; Commercial Repository</x:v>
      </x:c>
      <x:c r="D1" s="4" t="str">
        <x:v>Colgate-Palmolive Brand &amp; Commercial Repository</x:v>
      </x:c>
      <x:c r="E1" s="4" t="str">
        <x:v>Colgate-Palmolive Brand &amp; Commercial Repository</x:v>
      </x:c>
      <x:c r="F1" s="4" t="str">
        <x:v>Colgate-Palmolive Brand &amp; Commercial Repository</x:v>
      </x:c>
      <x:c r="G1" s="4" t="str">
        <x:v>Colgate-Palmolive Brand &amp; Commercial Repository</x:v>
      </x:c>
      <x:c r="H1" s="4" t="str">
        <x:v>Colgate-Palmolive Brand &amp; Commercial Repository</x:v>
      </x:c>
      <x:c r="I1" s="4" t="str">
        <x:v>Colgate-Palmolive Brand &amp; Commercial Repository</x:v>
      </x:c>
      <x:c r="J1" s="4" t="str">
        <x:v>Colgate-Palmolive Brand &amp; Commercial Repository</x:v>
      </x:c>
    </x:row>
    <x:row r="2" ht="28" customHeight="1">
      <x:c r="A2" s="8" t="str">
        <x:v>USA + Canada | Evidence as of 2026-08-31</x:v>
      </x:c>
      <x:c r="B2" s="8" t="str">
        <x:v>USA + Canada | Evidence as of 2026-08-31</x:v>
      </x:c>
      <x:c r="C2" s="8" t="str">
        <x:v>USA + Canada | Evidence as of 2026-08-31</x:v>
      </x:c>
      <x:c r="D2" s="8" t="str">
        <x:v>USA + Canada | Evidence as of 2026-08-31</x:v>
      </x:c>
      <x:c r="E2" s="8" t="str">
        <x:v>USA + Canada | Evidence as of 2026-08-31</x:v>
      </x:c>
      <x:c r="F2" s="8" t="str">
        <x:v>USA + Canada | Evidence as of 2026-08-31</x:v>
      </x:c>
      <x:c r="G2" s="8" t="str">
        <x:v>USA + Canada | Evidence as of 2026-08-31</x:v>
      </x:c>
      <x:c r="H2" s="8" t="str">
        <x:v>USA + Canada | Evidence as of 2026-08-31</x:v>
      </x:c>
      <x:c r="I2" s="8" t="str">
        <x:v>USA + Canada | Evidence as of 2026-08-31</x:v>
      </x:c>
      <x:c r="J2" s="8" t="str">
        <x:v>USA + Canada | Evidence as of 2026-08-31</x:v>
      </x:c>
    </x:row>
    <x:row r="3" ht="28" customHeight="1">
      <x:c r="A3" s="8" t="str">
        <x:v>USA + Canada | Evidence as of 2026-08-31</x:v>
      </x:c>
      <x:c r="B3" s="8" t="str">
        <x:v>USA + Canada | Evidence as of 2026-08-31</x:v>
      </x:c>
      <x:c r="C3" s="8" t="str">
        <x:v>USA + Canada | Evidence as of 2026-08-31</x:v>
      </x:c>
      <x:c r="D3" s="8" t="str">
        <x:v>USA + Canada | Evidence as of 2026-08-31</x:v>
      </x:c>
      <x:c r="E3" s="8" t="str">
        <x:v>USA + Canada | Evidence as of 2026-08-31</x:v>
      </x:c>
      <x:c r="F3" s="8" t="str">
        <x:v>USA + Canada | Evidence as of 2026-08-31</x:v>
      </x:c>
      <x:c r="G3" s="8" t="str">
        <x:v>USA + Canada | Evidence as of 2026-08-31</x:v>
      </x:c>
      <x:c r="H3" s="8" t="str">
        <x:v>USA + Canada | Evidence as of 2026-08-31</x:v>
      </x:c>
      <x:c r="I3" s="8" t="str">
        <x:v>USA + Canada | Evidence as of 2026-08-31</x:v>
      </x:c>
      <x:c r="J3" s="8" t="str">
        <x:v>USA + Canada | Evidence as of 2026-08-31</x:v>
      </x:c>
    </x:row>
    <x:row r="4">
      <x:c r="A4" s="10" t="str">
        <x:v>Repository status</x:v>
      </x:c>
      <x:c r="B4" s="10"/>
      <x:c r="C4" s="10"/>
      <x:c r="D4" s="10"/>
      <x:c r="E4" s="10"/>
      <x:c r="F4" s="10"/>
      <x:c r="G4" s="10"/>
      <x:c r="H4" s="10"/>
      <x:c r="I4" s="10"/>
      <x:c r="J4" s="10"/>
    </x:row>
    <x:row r="5">
      <x:c r="A5" s="30" t="str">
        <x:v>Evidence-backed public-web baseline. Reported facts, modeled estimates and unresolved gaps are separated. It is not a replacement for internal PIM/ERP, GS1, retailer POS or paid syndicated measurement.</x:v>
      </x:c>
      <x:c r="B5" s="31"/>
      <x:c r="C5" s="31"/>
      <x:c r="D5" s="31"/>
      <x:c r="E5" s="31"/>
      <x:c r="F5" s="31"/>
      <x:c r="G5" s="31"/>
      <x:c r="H5" s="31"/>
      <x:c r="I5" s="31"/>
      <x:c r="J5" s="32"/>
    </x:row>
    <x:row r="6">
      <x:c r="A6" s="33"/>
      <x:c r="B6" s="34"/>
      <x:c r="C6" s="34"/>
      <x:c r="D6" s="34"/>
      <x:c r="E6" s="34"/>
      <x:c r="F6" s="34"/>
      <x:c r="G6" s="34"/>
      <x:c r="H6" s="34"/>
      <x:c r="I6" s="34"/>
      <x:c r="J6" s="35"/>
    </x:row>
    <x:row r="7">
      <x:c r="A7" s="36"/>
      <x:c r="B7" s="37"/>
      <x:c r="C7" s="37"/>
      <x:c r="D7" s="37"/>
      <x:c r="E7" s="37"/>
      <x:c r="F7" s="37"/>
      <x:c r="G7" s="37"/>
      <x:c r="H7" s="37"/>
      <x:c r="I7" s="37"/>
      <x:c r="J7" s="38"/>
    </x:row>
    <x:row r="9">
      <x:c r="A9" s="59" t="str">
        <x:v>34
brand-market rows</x:v>
      </x:c>
      <x:c r="B9" s="60" t="str">
        <x:v>34
brand-market rows</x:v>
      </x:c>
      <x:c r="C9" s="84" t="str">
        <x:v>610
source URLs</x:v>
      </x:c>
      <x:c r="D9" s="85" t="str">
        <x:v>610
source URLs</x:v>
      </x:c>
      <x:c r="E9" s="59" t="str">
        <x:v>1144
linked SKU evidence rows</x:v>
      </x:c>
      <x:c r="F9" s="60" t="str">
        <x:v>1144
linked SKU evidence rows</x:v>
      </x:c>
      <x:c r="G9" s="84" t="str">
        <x:v>2
markets</x:v>
      </x:c>
      <x:c r="H9" s="85" t="str">
        <x:v>2
markets</x:v>
      </x:c>
    </x:row>
    <x:row r="10">
      <x:c r="A10" s="61" t="str">
        <x:v>34
brand-market rows</x:v>
      </x:c>
      <x:c r="B10" s="62" t="str">
        <x:v>34
brand-market rows</x:v>
      </x:c>
      <x:c r="C10" s="86" t="str">
        <x:v>610
source URLs</x:v>
      </x:c>
      <x:c r="D10" s="87" t="str">
        <x:v>610
source URLs</x:v>
      </x:c>
      <x:c r="E10" s="61" t="str">
        <x:v>1144
linked SKU evidence rows</x:v>
      </x:c>
      <x:c r="F10" s="62" t="str">
        <x:v>1144
linked SKU evidence rows</x:v>
      </x:c>
      <x:c r="G10" s="86" t="str">
        <x:v>2
markets</x:v>
      </x:c>
      <x:c r="H10" s="87" t="str">
        <x:v>2
markets</x:v>
      </x:c>
    </x:row>
    <x:row r="11">
      <x:c r="A11" s="63" t="str">
        <x:v>34
brand-market rows</x:v>
      </x:c>
      <x:c r="B11" s="64" t="str">
        <x:v>34
brand-market rows</x:v>
      </x:c>
      <x:c r="C11" s="88" t="str">
        <x:v>610
source URLs</x:v>
      </x:c>
      <x:c r="D11" s="89" t="str">
        <x:v>610
source URLs</x:v>
      </x:c>
      <x:c r="E11" s="63" t="str">
        <x:v>1144
linked SKU evidence rows</x:v>
      </x:c>
      <x:c r="F11" s="64" t="str">
        <x:v>1144
linked SKU evidence rows</x:v>
      </x:c>
      <x:c r="G11" s="88" t="str">
        <x:v>2
markets</x:v>
      </x:c>
      <x:c r="H11" s="89" t="str">
        <x:v>2
markets</x:v>
      </x:c>
    </x:row>
    <x:row r="13">
      <x:c r="A13" s="91" t="str">
        <x:v>How to read the workbook</x:v>
      </x:c>
      <x:c r="B13" s="91"/>
      <x:c r="C13" s="91"/>
      <x:c r="D13" s="91"/>
      <x:c r="E13" s="91"/>
      <x:c r="F13" s="91"/>
      <x:c r="G13" s="91"/>
      <x:c r="H13" s="91"/>
      <x:c r="I13" s="91"/>
      <x:c r="J13" s="91"/>
    </x:row>
    <x:row r="14">
      <x:c r="A14" s="111" t="str">
        <x:v>Green/verified fields derive from first-party, regulatory or current retailer evidence. Sales, channel, retailer spend and marketing are editable modeled estimates with explicit assumptions. Market-share cells preserve the exact reported scope; otherwise they name the missing data.</x:v>
      </x:c>
      <x:c r="B14" s="112"/>
      <x:c r="C14" s="112"/>
      <x:c r="D14" s="112"/>
      <x:c r="E14" s="112"/>
      <x:c r="F14" s="112"/>
      <x:c r="G14" s="112"/>
      <x:c r="H14" s="112"/>
      <x:c r="I14" s="112"/>
      <x:c r="J14" s="113"/>
    </x:row>
    <x:row r="15">
      <x:c r="A15" s="114"/>
      <x:c r="B15" s="115"/>
      <x:c r="C15" s="115"/>
      <x:c r="D15" s="115"/>
      <x:c r="E15" s="115"/>
      <x:c r="F15" s="115"/>
      <x:c r="G15" s="115"/>
      <x:c r="H15" s="115"/>
      <x:c r="I15" s="115"/>
      <x:c r="J15" s="116"/>
    </x:row>
    <x:row r="16">
      <x:c r="A16" s="117"/>
      <x:c r="B16" s="118"/>
      <x:c r="C16" s="118"/>
      <x:c r="D16" s="118"/>
      <x:c r="E16" s="118"/>
      <x:c r="F16" s="118"/>
      <x:c r="G16" s="118"/>
      <x:c r="H16" s="118"/>
      <x:c r="I16" s="118"/>
      <x:c r="J16" s="119"/>
    </x:row>
    <x:row r="18">
      <x:c r="A18" s="91" t="str">
        <x:v>Completeness definition</x:v>
      </x:c>
      <x:c r="B18" s="91"/>
      <x:c r="C18" s="91"/>
      <x:c r="D18" s="91"/>
      <x:c r="E18" s="91"/>
      <x:c r="F18" s="91"/>
      <x:c r="G18" s="91"/>
      <x:c r="H18" s="91"/>
      <x:c r="I18" s="91"/>
      <x:c r="J18" s="91"/>
    </x:row>
    <x:row r="19">
      <x:c r="A19" s="111" t="str">
        <x:v>A brand is included when local corporate, first-party, retailer or active regulatory evidence supports market presence. Global portfolio presence alone is insufficient. SKU completeness requires company PIM/GS1 and lifecycle feeds; use the companion SKU workbook as an evidence catalog.</x:v>
      </x:c>
      <x:c r="B19" s="112"/>
      <x:c r="C19" s="112"/>
      <x:c r="D19" s="112"/>
      <x:c r="E19" s="112"/>
      <x:c r="F19" s="112"/>
      <x:c r="G19" s="112"/>
      <x:c r="H19" s="112"/>
      <x:c r="I19" s="112"/>
      <x:c r="J19" s="113"/>
    </x:row>
    <x:row r="20">
      <x:c r="A20" s="114"/>
      <x:c r="B20" s="115"/>
      <x:c r="C20" s="115"/>
      <x:c r="D20" s="115"/>
      <x:c r="E20" s="115"/>
      <x:c r="F20" s="115"/>
      <x:c r="G20" s="115"/>
      <x:c r="H20" s="115"/>
      <x:c r="I20" s="115"/>
      <x:c r="J20" s="116"/>
    </x:row>
    <x:row r="21">
      <x:c r="A21" s="117"/>
      <x:c r="B21" s="118"/>
      <x:c r="C21" s="118"/>
      <x:c r="D21" s="118"/>
      <x:c r="E21" s="118"/>
      <x:c r="F21" s="118"/>
      <x:c r="G21" s="118"/>
      <x:c r="H21" s="118"/>
      <x:c r="I21" s="118"/>
      <x:c r="J21" s="119"/>
    </x:row>
    <x:row r="23">
      <x:c r="A23" s="91" t="str">
        <x:v>Commercial model</x:v>
      </x:c>
      <x:c r="B23" s="91"/>
      <x:c r="C23" s="91"/>
      <x:c r="D23" s="91"/>
      <x:c r="E23" s="91"/>
      <x:c r="F23" s="91"/>
      <x:c r="G23" s="91"/>
      <x:c r="H23" s="91"/>
      <x:c r="I23" s="91"/>
      <x:c r="J23" s="91"/>
    </x:row>
    <x:row r="24">
      <x:c r="A24" s="111" t="str">
        <x:v>Reported 2025 U.S. and North America pools are allocated across brands; Canada Hill’s uses a stated proxy. Low/high ranges are +/-30%. Brand marketing uses the reported 13.3% company advertising intensity. All assumptions are editable.</x:v>
      </x:c>
      <x:c r="B24" s="112"/>
      <x:c r="C24" s="112"/>
      <x:c r="D24" s="112"/>
      <x:c r="E24" s="112"/>
      <x:c r="F24" s="112"/>
      <x:c r="G24" s="112"/>
      <x:c r="H24" s="112"/>
      <x:c r="I24" s="112"/>
      <x:c r="J24" s="113"/>
    </x:row>
    <x:row r="25">
      <x:c r="A25" s="114"/>
      <x:c r="B25" s="115"/>
      <x:c r="C25" s="115"/>
      <x:c r="D25" s="115"/>
      <x:c r="E25" s="115"/>
      <x:c r="F25" s="115"/>
      <x:c r="G25" s="115"/>
      <x:c r="H25" s="115"/>
      <x:c r="I25" s="115"/>
      <x:c r="J25" s="116"/>
    </x:row>
    <x:row r="26">
      <x:c r="A26" s="117"/>
      <x:c r="B26" s="118"/>
      <x:c r="C26" s="118"/>
      <x:c r="D26" s="118"/>
      <x:c r="E26" s="118"/>
      <x:c r="F26" s="118"/>
      <x:c r="G26" s="118"/>
      <x:c r="H26" s="118"/>
      <x:c r="I26" s="118"/>
      <x:c r="J26" s="119"/>
    </x:row>
    <x:row r="28">
      <x:c r="A28" s="91" t="str">
        <x:v>Refresh and ownership</x:v>
      </x:c>
      <x:c r="B28" s="91"/>
      <x:c r="C28" s="91"/>
      <x:c r="D28" s="91"/>
      <x:c r="E28" s="91"/>
      <x:c r="F28" s="91"/>
      <x:c r="G28" s="91"/>
      <x:c r="H28" s="91"/>
      <x:c r="I28" s="91"/>
      <x:c r="J28" s="91"/>
    </x:row>
    <x:row r="29">
      <x:c r="A29" s="111" t="str">
        <x:v>Quarterly: filings, priorities and share. Monthly: catalogs and retailer pages. Replace model columns as internal or syndicated data becomes available. Preserve source URL, capture date, status and confidence on every update.</x:v>
      </x:c>
      <x:c r="B29" s="112"/>
      <x:c r="C29" s="112"/>
      <x:c r="D29" s="112"/>
      <x:c r="E29" s="112"/>
      <x:c r="F29" s="112"/>
      <x:c r="G29" s="112"/>
      <x:c r="H29" s="112"/>
      <x:c r="I29" s="112"/>
      <x:c r="J29" s="113"/>
    </x:row>
    <x:row r="30">
      <x:c r="A30" s="114"/>
      <x:c r="B30" s="115"/>
      <x:c r="C30" s="115"/>
      <x:c r="D30" s="115"/>
      <x:c r="E30" s="115"/>
      <x:c r="F30" s="115"/>
      <x:c r="G30" s="115"/>
      <x:c r="H30" s="115"/>
      <x:c r="I30" s="115"/>
      <x:c r="J30" s="116"/>
    </x:row>
    <x:row r="31">
      <x:c r="A31" s="117"/>
      <x:c r="B31" s="118"/>
      <x:c r="C31" s="118"/>
      <x:c r="D31" s="118"/>
      <x:c r="E31" s="118"/>
      <x:c r="F31" s="118"/>
      <x:c r="G31" s="118"/>
      <x:c r="H31" s="118"/>
      <x:c r="I31" s="118"/>
      <x:c r="J31" s="119"/>
    </x:row>
  </x:sheetData>
  <x:mergeCells>
    <x:mergeCell ref="A1:J1"/>
    <x:mergeCell ref="A2:J3"/>
    <x:mergeCell ref="A4:J4"/>
    <x:mergeCell ref="A5:J7"/>
    <x:mergeCell ref="A9:B11"/>
    <x:mergeCell ref="C9:D11"/>
    <x:mergeCell ref="E9:F11"/>
    <x:mergeCell ref="G9:H11"/>
    <x:mergeCell ref="A13:J13"/>
    <x:mergeCell ref="A14:J16"/>
    <x:mergeCell ref="A18:J18"/>
    <x:mergeCell ref="A19:J21"/>
    <x:mergeCell ref="A23:J23"/>
    <x:mergeCell ref="A24:J26"/>
    <x:mergeCell ref="A28:J28"/>
    <x:mergeCell ref="A29:J3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9" hidden="0" customWidth="1"/>
    <x:col min="3" max="3" width="22" hidden="0" customWidth="1"/>
    <x:col min="4" max="4" width="18" hidden="0" customWidth="1"/>
    <x:col min="5" max="5" width="48" hidden="0" customWidth="1"/>
    <x:col min="6" max="6" width="38" hidden="0" customWidth="1"/>
    <x:col min="7" max="7" width="18" hidden="0" customWidth="1"/>
    <x:col min="8" max="8" width="15" hidden="0" customWidth="1"/>
    <x:col min="9" max="9" width="17" hidden="0" customWidth="1"/>
    <x:col min="10" max="10" width="17" hidden="0" customWidth="1"/>
    <x:col min="11" max="11" width="18" hidden="0" customWidth="1"/>
    <x:col min="12" max="12" width="18" hidden="0" customWidth="1"/>
    <x:col min="13" max="13" width="18" hidden="0" customWidth="1"/>
    <x:col min="14" max="14" width="16" hidden="0" customWidth="1"/>
    <x:col min="15" max="15" width="15" hidden="0" customWidth="1"/>
    <x:col min="16" max="16" width="44" hidden="0" customWidth="1"/>
    <x:col min="17" max="17" width="22" hidden="0" customWidth="1"/>
    <x:col min="18" max="18" width="32" hidden="0" customWidth="1"/>
    <x:col min="19" max="19" width="38" hidden="0" customWidth="1"/>
    <x:col min="20" max="20" width="46" hidden="0" customWidth="1"/>
    <x:col min="21" max="21" width="44" hidden="0" customWidth="1"/>
    <x:col min="22" max="22" width="46" hidden="0" customWidth="1"/>
    <x:col min="23" max="23" width="42" hidden="0" customWidth="1"/>
    <x:col min="24" max="24" width="55" hidden="0" customWidth="1"/>
    <x:col min="25" max="25" width="48" hidden="0" customWidth="1"/>
    <x:col min="26" max="26" width="48" hidden="0" customWidth="1"/>
    <x:col min="27" max="27" width="48" hidden="0" customWidth="1"/>
    <x:col min="28" max="28" width="48" hidden="0" customWidth="1"/>
    <x:col min="29" max="29" width="48" hidden="0" customWidth="1"/>
    <x:col min="30" max="30" width="13" hidden="0" customWidth="1"/>
    <x:col min="31" max="31" width="48" hidden="0" customWidth="1"/>
  </x:cols>
  <x:sheetData>
    <x:row r="1" ht="38" customHeight="1">
      <x:c r="A1" s="124" t="str">
        <x:v>Brand-Market ID</x:v>
      </x:c>
      <x:c r="B1" s="124" t="str">
        <x:v>Market</x:v>
      </x:c>
      <x:c r="C1" s="124" t="str">
        <x:v>Brand</x:v>
      </x:c>
      <x:c r="D1" s="124" t="str">
        <x:v>Primary Category</x:v>
      </x:c>
      <x:c r="E1" s="124" t="str">
        <x:v>Positioning</x:v>
      </x:c>
      <x:c r="F1" s="124" t="str">
        <x:v>Availability Status</x:v>
      </x:c>
      <x:c r="G1" s="124" t="str">
        <x:v>Availability Confidence</x:v>
      </x:c>
      <x:c r="H1" s="124" t="str">
        <x:v>Pool Type</x:v>
      </x:c>
      <x:c r="I1" s="124" t="str">
        <x:v>Sales Pool USD M</x:v>
      </x:c>
      <x:c r="J1" s="124" t="str">
        <x:v>Brand Allocation %</x:v>
      </x:c>
      <x:c r="K1" s="124" t="str">
        <x:v>Est. Sales Low USD M</x:v>
      </x:c>
      <x:c r="L1" s="124" t="str">
        <x:v>Est. Sales Mid USD M</x:v>
      </x:c>
      <x:c r="M1" s="124" t="str">
        <x:v>Est. Sales High USD M</x:v>
      </x:c>
      <x:c r="N1" s="124" t="str">
        <x:v>Est. In-Store %</x:v>
      </x:c>
      <x:c r="O1" s="124" t="str">
        <x:v>Est. Online %</x:v>
      </x:c>
      <x:c r="P1" s="124" t="str">
        <x:v>Top Retailers + Est. Spend USD M</x:v>
      </x:c>
      <x:c r="Q1" s="124" t="str">
        <x:v>Est. Marketing Spend USD M</x:v>
      </x:c>
      <x:c r="R1" s="124" t="str">
        <x:v>Market / Category Share</x:v>
      </x:c>
      <x:c r="S1" s="124" t="str">
        <x:v>Share Scope / Gap</x:v>
      </x:c>
      <x:c r="T1" s="124" t="str">
        <x:v>Brand Assets &amp; Affinity</x:v>
      </x:c>
      <x:c r="U1" s="124" t="str">
        <x:v>Current Marketing Themes</x:v>
      </x:c>
      <x:c r="V1" s="124" t="str">
        <x:v>General Sentiment</x:v>
      </x:c>
      <x:c r="W1" s="124" t="str">
        <x:v>Sentiment Method</x:v>
      </x:c>
      <x:c r="X1" s="124" t="str">
        <x:v>Q4 2026 Focus</x:v>
      </x:c>
      <x:c r="Y1" s="124" t="str">
        <x:v>Current Innovation / Pipeline</x:v>
      </x:c>
      <x:c r="Z1" s="124" t="str">
        <x:v>Brand Fact Source</x:v>
      </x:c>
      <x:c r="AA1" s="124" t="str">
        <x:v>Availability Source</x:v>
      </x:c>
      <x:c r="AB1" s="124" t="str">
        <x:v>Commercial Fact Source</x:v>
      </x:c>
      <x:c r="AC1" s="124" t="str">
        <x:v>Current 2026 Source</x:v>
      </x:c>
      <x:c r="AD1" s="124" t="str">
        <x:v>Last Verified</x:v>
      </x:c>
      <x:c r="AE1" s="124" t="str">
        <x:v>Fact / Estimate Classification</x:v>
      </x:c>
    </x:row>
    <x:row r="2" ht="18" customHeight="1">
      <x:c r="A2" s="158" t="str">
        <x:v>USA-AJAX</x:v>
      </x:c>
      <x:c r="B2" s="159" t="str">
        <x:v>USA</x:v>
      </x:c>
      <x:c r="C2" s="159" t="str">
        <x:v>Ajax</x:v>
      </x:c>
      <x:c r="D2" s="159" t="str">
        <x:v>Home Care</x:v>
      </x:c>
      <x:c r="E2" s="159" t="str">
        <x:v>Value cleaning focused on powerful grease removal across dish and hard-surface jobs.</x:v>
      </x:c>
      <x:c r="F2" s="159" t="str">
        <x:v>Verified first-party catalog + current retailer evidence</x:v>
      </x:c>
      <x:c r="G2" s="159" t="str">
        <x:v>High</x:v>
      </x:c>
      <x:c r="H2" s="159" t="str">
        <x:v>OPHC</x:v>
      </x:c>
      <x:c r="I2" s="160" t="n">
        <x:f>SUMIFS(Assumptions!$D$2:$D$35,Assumptions!$A$2:$A$35,$B2,Assumptions!$B$2:$B$35,$C2)</x:f>
        <x:v>3596</x:v>
      </x:c>
      <x:c r="J2" s="161" t="n">
        <x:f>SUMIFS(Assumptions!$E$2:$E$35,Assumptions!$A$2:$A$35,$B2,Assumptions!$B$2:$B$35,$C2)</x:f>
        <x:v>0.03</x:v>
      </x:c>
      <x:c r="K2" s="160" t="n">
        <x:f>I2*J2*SUMIFS(Assumptions!$F$2:$F$35,Assumptions!$A$2:$A$35,$B2,Assumptions!$B$2:$B$35,$C2)</x:f>
        <x:v>75.51599999999999</x:v>
      </x:c>
      <x:c r="L2" s="160" t="n">
        <x:f>I2*J2</x:f>
        <x:v>107.88</x:v>
      </x:c>
      <x:c r="M2" s="160" t="n">
        <x:f>I2*J2*SUMIFS(Assumptions!$G$2:$G$35,Assumptions!$A$2:$A$35,$B2,Assumptions!$B$2:$B$35,$C2)</x:f>
        <x:v>140.244</x:v>
      </x:c>
      <x:c r="N2" s="161" t="n">
        <x:f>SUMIFS(Assumptions!$H$2:$H$35,Assumptions!$A$2:$A$35,$B2,Assumptions!$B$2:$B$35,$C2)</x:f>
        <x:v>0.82</x:v>
      </x:c>
      <x:c r="O2" s="161" t="n">
        <x:f>SUMIFS(Assumptions!$I$2:$I$35,Assumptions!$A$2:$A$35,$B2,Assumptions!$B$2:$B$35,$C2)</x:f>
        <x:v>0.18</x:v>
      </x:c>
      <x:c r="P2" s="159" t="str">
        <x:v>Walmart: ~$ 28.1M; Amazon: ~$ 15.1M; Target: ~$ 12.9M</x:v>
      </x:c>
      <x:c r="Q2" s="160" t="n">
        <x:f>L2*SUMIFS(Assumptions!$J$2:$J$35,Assumptions!$A$2:$A$35,$B2,Assumptions!$B$2:$B$35,$C2)</x:f>
        <x:v>14.348040000000001</x:v>
      </x:c>
      <x:c r="R2" s="159" t="str">
        <x:v>Not publicly disclosed at brand-market-category level</x:v>
      </x:c>
      <x:c r="S2" s="159" t="str">
        <x:v>Paid Nielsen/NIQ/Circana or internal data required</x:v>
      </x:c>
      <x:c r="T2" s="159" t="str">
        <x:v>Bold red/orange branding; “stronger than grease” style claims; large value formats; dish and cleanser heritage.</x:v>
      </x:c>
      <x:c r="U2" s="159" t="str">
        <x:v>Power, degreasing, speed, affordability and no-nonsense efficacy.</x:v>
      </x:c>
      <x:c r="V2" s="159" t="str">
        <x:v>Mixed-to-positive: cleaning strength and price are praised; fragrance and harshness perceptions vary.</x:v>
      </x:c>
      <x:c r="W2" s="159" t="str">
        <x:v>Directional synthesis of official messaging and current retailer/review signals; not a normalized score.</x:v>
      </x:c>
      <x:c r="X2" s="159" t="str">
        <x:v>Inferred: emphasize cleaning superiority, value packs and improved retail/digital execution.</x:v>
      </x:c>
      <x:c r="Y2" s="159" t="str">
        <x:v>Ultra concentrated dish liquids and multi-surface/all-purpose cleaner variants.</x:v>
      </x:c>
      <x:c r="Z2" s="159" t="str">
        <x:v>https://www.ajax.com/en-us/products</x:v>
      </x:c>
      <x:c r="AA2" s="159" t="str">
        <x:v>https://www.ajax.com/en-us/products/all-purpose-cleaner-fresh | https://www.walmart.com/ip/AJAX-Triple-Action-Orange-Dish-Liquid-52-fl-oz-Bottles-Liquid-52-fl-oz-1-6-quart-6-Carton-Orange/409868123</x:v>
      </x:c>
      <x:c r="AB2" s="159" t="str">
        <x:v>https://investor.colgatepalmolive.com/static-files/c4a7e20c-1aa8-4bb1-bd4b-74755c99688f</x:v>
      </x:c>
      <x:c r="AC2" s="159" t="str">
        <x:v>https://investor.colgatepalmolive.com/static-files/ca92df4c-8d85-4df1-bf67-c2b76b8b36fe</x:v>
      </x:c>
      <x:c r="AD2" s="159" t="str">
        <x:v>2026-08-31</x:v>
      </x:c>
      <x:c r="AE2" s="162" t="str">
        <x:v>Reported: presence/share scope/sources. Modeled: sales/channel/retailer/marketing. Directional: sentiment and inferred priorities.</x:v>
      </x:c>
    </x:row>
    <x:row r="3" ht="18" customHeight="1">
      <x:c r="A3" s="163" t="str">
        <x:v>USA-COLGATE</x:v>
      </x:c>
      <x:c r="B3" s="164" t="str">
        <x:v>USA</x:v>
      </x:c>
      <x:c r="C3" s="164" t="str">
        <x:v>Colgate</x:v>
      </x:c>
      <x:c r="D3" s="164" t="str">
        <x:v>Oral Care</x:v>
      </x:c>
      <x:c r="E3" s="164" t="str">
        <x:v>Mass-premium oral-health leader spanning prevention, whitening, sensitivity, kids and professional oral care.</x:v>
      </x:c>
      <x:c r="F3" s="164" t="str">
        <x:v>Verified first-party catalog + current retailer evidence</x:v>
      </x:c>
      <x:c r="G3" s="164" t="str">
        <x:v>High</x:v>
      </x:c>
      <x:c r="H3" s="164" t="str">
        <x:v>OPHC</x:v>
      </x:c>
      <x:c r="I3" s="165" t="n">
        <x:f>SUMIFS(Assumptions!$D$2:$D$35,Assumptions!$A$2:$A$35,$B3,Assumptions!$B$2:$B$35,$C3)</x:f>
        <x:v>3596</x:v>
      </x:c>
      <x:c r="J3" s="166" t="n">
        <x:f>SUMIFS(Assumptions!$E$2:$E$35,Assumptions!$A$2:$A$35,$B3,Assumptions!$B$2:$B$35,$C3)</x:f>
        <x:v>0.36</x:v>
      </x:c>
      <x:c r="K3" s="165" t="n">
        <x:f>I3*J3*SUMIFS(Assumptions!$F$2:$F$35,Assumptions!$A$2:$A$35,$B3,Assumptions!$B$2:$B$35,$C3)</x:f>
        <x:v>906.1919999999999</x:v>
      </x:c>
      <x:c r="L3" s="165" t="n">
        <x:f>I3*J3</x:f>
        <x:v>1294.56</x:v>
      </x:c>
      <x:c r="M3" s="165" t="n">
        <x:f>I3*J3*SUMIFS(Assumptions!$G$2:$G$35,Assumptions!$A$2:$A$35,$B3,Assumptions!$B$2:$B$35,$C3)</x:f>
        <x:v>1682.9279999999999</x:v>
      </x:c>
      <x:c r="N3" s="166" t="n">
        <x:f>SUMIFS(Assumptions!$H$2:$H$35,Assumptions!$A$2:$A$35,$B3,Assumptions!$B$2:$B$35,$C3)</x:f>
        <x:v>0.8</x:v>
      </x:c>
      <x:c r="O3" s="166" t="n">
        <x:f>SUMIFS(Assumptions!$I$2:$I$35,Assumptions!$A$2:$A$35,$B3,Assumptions!$B$2:$B$35,$C3)</x:f>
        <x:v>0.2</x:v>
      </x:c>
      <x:c r="P3" s="164" t="str">
        <x:v>Walmart: ~$ 336.6M; Amazon: ~$ 181.2M; Target: ~$ 155.4M</x:v>
      </x:c>
      <x:c r="Q3" s="165" t="n">
        <x:f>L3*SUMIFS(Assumptions!$J$2:$J$35,Assumptions!$A$2:$A$35,$B3,Assumptions!$B$2:$B$35,$C3)</x:f>
        <x:v>172.17648</x:v>
      </x:c>
      <x:c r="R3" s="164" t="str">
        <x:v>31.9 toothpaste; 43.4 manual toothbrush</x:v>
      </x:c>
      <x:c r="S3" s="164" t="str">
        <x:v>U.S. YTD value share through latest available period at 2Q 2026</x:v>
      </x:c>
      <x:c r="T3" s="164" t="str">
        <x:v>Red-and-white masterbrand; dentist/science authority; Total, Optic White, Max Fresh and Sensitive benefit platforms; strong shelf block.</x:v>
      </x:c>
      <x:c r="U3" s="164" t="str">
        <x:v>Whole-mouth prevention, premium whitening, clinical efficacy, healthy smiles and family routines.</x:v>
      </x:c>
      <x:c r="V3" s="164" t="str">
        <x:v>Mixed-to-positive directional signal: high awareness and trust; taste, price and sensitivity experiences vary by product.</x:v>
      </x:c>
      <x:c r="W3" s="164" t="str">
        <x:v>Directional synthesis of official messaging and current retailer/review signals; not a normalized score.</x:v>
      </x:c>
      <x:c r="X3" s="164" t="str">
        <x:v>Management-stated North America priority: improved execution, increased brand support and premium innovation, led by Optic White Pro Series with ActivShine Technology.</x:v>
      </x:c>
      <x:c r="Y3" s="164" t="str">
        <x:v>Optic White Pro Series with ActivShine; Total Active Prevention system; premium science-led innovation and recyclable packaging.</x:v>
      </x:c>
      <x:c r="Z3" s="164" t="str">
        <x:v>https://investor.colgatepalmolive.com/static-files/ca92df4c-8d85-4df1-bf67-c2b76b8b36fe</x:v>
      </x:c>
      <x:c r="AA3" s="164" t="str">
        <x:v>https://www.colgate.com/en-us/products/toothpaste/2-in-1-icy-blast | https://www.target.com/p/colgate-2-in-1-whitening-gel-toothpaste-and-mouthwash-4-6oz/-/A-14274191</x:v>
      </x:c>
      <x:c r="AB3" s="164" t="str">
        <x:v>https://investor.colgatepalmolive.com/static-files/c4a7e20c-1aa8-4bb1-bd4b-74755c99688f</x:v>
      </x:c>
      <x:c r="AC3" s="164" t="str">
        <x:v>https://investor.colgatepalmolive.com/static-files/ca92df4c-8d85-4df1-bf67-c2b76b8b36fe</x:v>
      </x:c>
      <x:c r="AD3" s="164" t="str">
        <x:v>2026-08-31</x:v>
      </x:c>
      <x:c r="AE3" s="167" t="str">
        <x:v>Reported: presence/share scope/sources. Modeled: sales/channel/retailer/marketing. Directional: sentiment and inferred priorities.</x:v>
      </x:c>
    </x:row>
    <x:row r="4" ht="18" customHeight="1">
      <x:c r="A4" s="163" t="str">
        <x:v>USA-ELTAMD</x:v>
      </x:c>
      <x:c r="B4" s="164" t="str">
        <x:v>USA</x:v>
      </x:c>
      <x:c r="C4" s="164" t="str">
        <x:v>EltaMD</x:v>
      </x:c>
      <x:c r="D4" s="164" t="str">
        <x:v>Skin Health</x:v>
      </x:c>
      <x:c r="E4" s="164" t="str">
        <x:v>Dermatologist-recommended premium sun and skin care emphasizing broad-spectrum protection and skin compatibility.</x:v>
      </x:c>
      <x:c r="F4" s="164" t="str">
        <x:v>Verified first-party catalog + current retailer evidence</x:v>
      </x:c>
      <x:c r="G4" s="164" t="str">
        <x:v>High</x:v>
      </x:c>
      <x:c r="H4" s="164" t="str">
        <x:v>OPHC</x:v>
      </x:c>
      <x:c r="I4" s="165" t="n">
        <x:f>SUMIFS(Assumptions!$D$2:$D$35,Assumptions!$A$2:$A$35,$B4,Assumptions!$B$2:$B$35,$C4)</x:f>
        <x:v>3596</x:v>
      </x:c>
      <x:c r="J4" s="166" t="n">
        <x:f>SUMIFS(Assumptions!$E$2:$E$35,Assumptions!$A$2:$A$35,$B4,Assumptions!$B$2:$B$35,$C4)</x:f>
        <x:v>0.07</x:v>
      </x:c>
      <x:c r="K4" s="165" t="n">
        <x:f>I4*J4*SUMIFS(Assumptions!$F$2:$F$35,Assumptions!$A$2:$A$35,$B4,Assumptions!$B$2:$B$35,$C4)</x:f>
        <x:v>176.204</x:v>
      </x:c>
      <x:c r="L4" s="165" t="n">
        <x:f>I4*J4</x:f>
        <x:v>251.72000000000003</x:v>
      </x:c>
      <x:c r="M4" s="165" t="n">
        <x:f>I4*J4*SUMIFS(Assumptions!$G$2:$G$35,Assumptions!$A$2:$A$35,$B4,Assumptions!$B$2:$B$35,$C4)</x:f>
        <x:v>327.23600000000005</x:v>
      </x:c>
      <x:c r="N4" s="166" t="n">
        <x:f>SUMIFS(Assumptions!$H$2:$H$35,Assumptions!$A$2:$A$35,$B4,Assumptions!$B$2:$B$35,$C4)</x:f>
        <x:v>0.35</x:v>
      </x:c>
      <x:c r="O4" s="166" t="n">
        <x:f>SUMIFS(Assumptions!$I$2:$I$35,Assumptions!$A$2:$A$35,$B4,Assumptions!$B$2:$B$35,$C4)</x:f>
        <x:v>0.65</x:v>
      </x:c>
      <x:c r="P4" s="164" t="str">
        <x:v>Professional/DTC: ~$ 113.3M; Dermstore/Ulta: ~$ 37.8M; Amazon: ~$ 37.8M</x:v>
      </x:c>
      <x:c r="Q4" s="165" t="n">
        <x:f>L4*SUMIFS(Assumptions!$J$2:$J$35,Assumptions!$A$2:$A$35,$B4,Assumptions!$B$2:$B$35,$C4)</x:f>
        <x:v>33.47876000000001</x:v>
      </x:c>
      <x:c r="R4" s="164" t="str">
        <x:v>Not publicly disclosed at brand-market-category level</x:v>
      </x:c>
      <x:c r="S4" s="164" t="str">
        <x:v>Paid Nielsen/NIQ/Circana or internal data required</x:v>
      </x:c>
      <x:c r="T4" s="164" t="str">
        <x:v>Clinical white packaging; dermatologist channel; UV Clear franchise; mineral/hybrid and tinted choices.</x:v>
      </x:c>
      <x:c r="U4" s="164" t="str">
        <x:v>Daily sun safety, sensitive/acne-prone skin, inclusive tinting and dermatology credibility.</x:v>
      </x:c>
      <x:c r="V4" s="164" t="str">
        <x:v>Positive-to-mixed: wearability and dermatologist trust are strong; price, tint match, pilling and white cast vary.</x:v>
      </x:c>
      <x:c r="W4" s="164" t="str">
        <x:v>Directional synthesis of official messaging and current retailer/review signals; not a normalized score.</x:v>
      </x:c>
      <x:c r="X4" s="164" t="str">
        <x:v>Inferred: scale science-led premium innovation, deep-tint inclusion and professional/omni-channel demand.</x:v>
      </x:c>
      <x:c r="Y4" s="164" t="str">
        <x:v>Deep Tint sunscreen for darker skin tones and specialized UV protection formats.</x:v>
      </x:c>
      <x:c r="Z4" s="164" t="str">
        <x:v>https://www.colgatepalmolive.com/en-us/innovation/skin-health</x:v>
      </x:c>
      <x:c r="AA4" s="164" t="str">
        <x:v>https://eltamd.com/products/sensitive-skin-bundle | https://www.dermstore.com/c/brands/eltamd/</x:v>
      </x:c>
      <x:c r="AB4" s="164" t="str">
        <x:v>https://investor.colgatepalmolive.com/static-files/c4a7e20c-1aa8-4bb1-bd4b-74755c99688f</x:v>
      </x:c>
      <x:c r="AC4" s="164" t="str">
        <x:v>https://investor.colgatepalmolive.com/static-files/ca92df4c-8d85-4df1-bf67-c2b76b8b36fe</x:v>
      </x:c>
      <x:c r="AD4" s="164" t="str">
        <x:v>2026-08-31</x:v>
      </x:c>
      <x:c r="AE4" s="167" t="str">
        <x:v>Reported: presence/share scope/sources. Modeled: sales/channel/retailer/marketing. Directional: sentiment and inferred priorities.</x:v>
      </x:c>
    </x:row>
    <x:row r="5" ht="18" customHeight="1">
      <x:c r="A5" s="163" t="str">
        <x:v>USA-FABULOSO</x:v>
      </x:c>
      <x:c r="B5" s="164" t="str">
        <x:v>USA</x:v>
      </x:c>
      <x:c r="C5" s="164" t="str">
        <x:v>Fabuloso</x:v>
      </x:c>
      <x:c r="D5" s="164" t="str">
        <x:v>Home Care</x:v>
      </x:c>
      <x:c r="E5" s="164" t="str">
        <x:v>Value-forward multi-purpose cleaning with high-impact fragrance, color and culturally resonant personality.</x:v>
      </x:c>
      <x:c r="F5" s="164" t="str">
        <x:v>Verified first-party catalog + current retailer evidence</x:v>
      </x:c>
      <x:c r="G5" s="164" t="str">
        <x:v>High</x:v>
      </x:c>
      <x:c r="H5" s="164" t="str">
        <x:v>OPHC</x:v>
      </x:c>
      <x:c r="I5" s="165" t="n">
        <x:f>SUMIFS(Assumptions!$D$2:$D$35,Assumptions!$A$2:$A$35,$B5,Assumptions!$B$2:$B$35,$C5)</x:f>
        <x:v>3596</x:v>
      </x:c>
      <x:c r="J5" s="166" t="n">
        <x:f>SUMIFS(Assumptions!$E$2:$E$35,Assumptions!$A$2:$A$35,$B5,Assumptions!$B$2:$B$35,$C5)</x:f>
        <x:v>0.08</x:v>
      </x:c>
      <x:c r="K5" s="165" t="n">
        <x:f>I5*J5*SUMIFS(Assumptions!$F$2:$F$35,Assumptions!$A$2:$A$35,$B5,Assumptions!$B$2:$B$35,$C5)</x:f>
        <x:v>201.376</x:v>
      </x:c>
      <x:c r="L5" s="165" t="n">
        <x:f>I5*J5</x:f>
        <x:v>287.68</x:v>
      </x:c>
      <x:c r="M5" s="165" t="n">
        <x:f>I5*J5*SUMIFS(Assumptions!$G$2:$G$35,Assumptions!$A$2:$A$35,$B5,Assumptions!$B$2:$B$35,$C5)</x:f>
        <x:v>373.98400000000004</x:v>
      </x:c>
      <x:c r="N5" s="166" t="n">
        <x:f>SUMIFS(Assumptions!$H$2:$H$35,Assumptions!$A$2:$A$35,$B5,Assumptions!$B$2:$B$35,$C5)</x:f>
        <x:v>0.82</x:v>
      </x:c>
      <x:c r="O5" s="166" t="n">
        <x:f>SUMIFS(Assumptions!$I$2:$I$35,Assumptions!$A$2:$A$35,$B5,Assumptions!$B$2:$B$35,$C5)</x:f>
        <x:v>0.18</x:v>
      </x:c>
      <x:c r="P5" s="164" t="str">
        <x:v>Walmart: ~$ 74.8M; Amazon: ~$ 40.3M; Target: ~$ 34.5M</x:v>
      </x:c>
      <x:c r="Q5" s="165" t="n">
        <x:f>L5*SUMIFS(Assumptions!$J$2:$J$35,Assumptions!$A$2:$A$35,$B5,Assumptions!$B$2:$B$35,$C5)</x:f>
        <x:v>38.26144</x:v>
      </x:c>
      <x:c r="R5" s="164" t="str">
        <x:v>Not publicly disclosed at brand-market-category level</x:v>
      </x:c>
      <x:c r="S5" s="164" t="str">
        <x:v>Paid Nielsen/NIQ/Circana or internal data required</x:v>
      </x:c>
      <x:c r="T5" s="164" t="str">
        <x:v>Purple masterbrand cue; vibrant liquids; fragrance-led naming; large value sizes and social-ready energy.</x:v>
      </x:c>
      <x:c r="U5" s="164" t="str">
        <x:v>Joyful cleaning, long-lasting fragrance, versatility, value and bold color.</x:v>
      </x:c>
      <x:c r="V5" s="164" t="str">
        <x:v>Mixed-to-positive: fragrance, value and versatility drive advocacy; scent intensity and dilution/use questions polarize.</x:v>
      </x:c>
      <x:c r="W5" s="164" t="str">
        <x:v>Directional synthesis of official messaging and current retailer/review signals; not a normalized score.</x:v>
      </x:c>
      <x:c r="X5" s="164" t="str">
        <x:v>Management-stated North America priority: support momentum behind 3-in-1 Clean Spray and Watermelon cleaners with increased brand support.</x:v>
      </x:c>
      <x:c r="Y5" s="164" t="str">
        <x:v>3-in-1 Clean Spray, Watermelon cleaners and concentrated 10x platform/test-and-learn.</x:v>
      </x:c>
      <x:c r="Z5" s="164" t="str">
        <x:v>https://investor.colgatepalmolive.com/static-files/ca92df4c-8d85-4df1-bf67-c2b76b8b36fe</x:v>
      </x:c>
      <x:c r="AA5" s="164" t="str">
        <x:v>https://www.fabuloso.com/en-us/products | https://www.target.com/p/ajax-watermelon-fabuloso-liquid-dish-soaps-52-fl-oz-cleaner-eliminates-stains-removes-grease-plastic-bottle/-/A-94885343</x:v>
      </x:c>
      <x:c r="AB5" s="164" t="str">
        <x:v>https://investor.colgatepalmolive.com/static-files/c4a7e20c-1aa8-4bb1-bd4b-74755c99688f</x:v>
      </x:c>
      <x:c r="AC5" s="164" t="str">
        <x:v>https://investor.colgatepalmolive.com/static-files/ca92df4c-8d85-4df1-bf67-c2b76b8b36fe</x:v>
      </x:c>
      <x:c r="AD5" s="164" t="str">
        <x:v>2026-08-31</x:v>
      </x:c>
      <x:c r="AE5" s="167" t="str">
        <x:v>Reported: presence/share scope/sources. Modeled: sales/channel/retailer/marketing. Directional: sentiment and inferred priorities.</x:v>
      </x:c>
    </x:row>
    <x:row r="6" ht="18" customHeight="1">
      <x:c r="A6" s="163" t="str">
        <x:v>USA-FILORGA</x:v>
      </x:c>
      <x:c r="B6" s="164" t="str">
        <x:v>USA</x:v>
      </x:c>
      <x:c r="C6" s="164" t="str">
        <x:v>FILORGA</x:v>
      </x:c>
      <x:c r="D6" s="164" t="str">
        <x:v>Skin Health</x:v>
      </x:c>
      <x:c r="E6" s="164" t="str">
        <x:v>French premium anti-aging skin care translating aesthetic-medicine cues into topical routines.</x:v>
      </x:c>
      <x:c r="F6" s="164" t="str">
        <x:v>Verified first-party/local catalog evidence</x:v>
      </x:c>
      <x:c r="G6" s="164" t="str">
        <x:v>High</x:v>
      </x:c>
      <x:c r="H6" s="164" t="str">
        <x:v>OPHC</x:v>
      </x:c>
      <x:c r="I6" s="165" t="n">
        <x:f>SUMIFS(Assumptions!$D$2:$D$35,Assumptions!$A$2:$A$35,$B6,Assumptions!$B$2:$B$35,$C6)</x:f>
        <x:v>3596</x:v>
      </x:c>
      <x:c r="J6" s="166" t="n">
        <x:f>SUMIFS(Assumptions!$E$2:$E$35,Assumptions!$A$2:$A$35,$B6,Assumptions!$B$2:$B$35,$C6)</x:f>
        <x:v>0.02</x:v>
      </x:c>
      <x:c r="K6" s="165" t="n">
        <x:f>I6*J6*SUMIFS(Assumptions!$F$2:$F$35,Assumptions!$A$2:$A$35,$B6,Assumptions!$B$2:$B$35,$C6)</x:f>
        <x:v>50.344</x:v>
      </x:c>
      <x:c r="L6" s="165" t="n">
        <x:f>I6*J6</x:f>
        <x:v>71.92</x:v>
      </x:c>
      <x:c r="M6" s="165" t="n">
        <x:f>I6*J6*SUMIFS(Assumptions!$G$2:$G$35,Assumptions!$A$2:$A$35,$B6,Assumptions!$B$2:$B$35,$C6)</x:f>
        <x:v>93.49600000000001</x:v>
      </x:c>
      <x:c r="N6" s="166" t="n">
        <x:f>SUMIFS(Assumptions!$H$2:$H$35,Assumptions!$A$2:$A$35,$B6,Assumptions!$B$2:$B$35,$C6)</x:f>
        <x:v>0.35</x:v>
      </x:c>
      <x:c r="O6" s="166" t="n">
        <x:f>SUMIFS(Assumptions!$I$2:$I$35,Assumptions!$A$2:$A$35,$B6,Assumptions!$B$2:$B$35,$C6)</x:f>
        <x:v>0.65</x:v>
      </x:c>
      <x:c r="P6" s="164" t="str">
        <x:v>Professional/DTC: ~$ 32.4M; Dermstore/Ulta: ~$ 10.8M; Amazon: ~$ 10.8M</x:v>
      </x:c>
      <x:c r="Q6" s="165" t="n">
        <x:f>L6*SUMIFS(Assumptions!$J$2:$J$35,Assumptions!$A$2:$A$35,$B6,Assumptions!$B$2:$B$35,$C6)</x:f>
        <x:v>9.56536</x:v>
      </x:c>
      <x:c r="R6" s="164" t="str">
        <x:v>Not publicly disclosed at brand-market-category level</x:v>
      </x:c>
      <x:c r="S6" s="164" t="str">
        <x:v>Paid Nielsen/NIQ/Circana or internal data required</x:v>
      </x:c>
      <x:c r="T6" s="164" t="str">
        <x:v>French laboratory heritage; NCEF platform; silver/black premium packs; treatment-inspired names.</x:v>
      </x:c>
      <x:c r="U6" s="164" t="str">
        <x:v>Visible anti-aging correction, sensorial luxury, aesthetic expertise and multi-correction.</x:v>
      </x:c>
      <x:c r="V6" s="164" t="str">
        <x:v>Positive-to-mixed: texture and premium experience attract users; price, fragrance and results expectations vary.</x:v>
      </x:c>
      <x:c r="W6" s="164" t="str">
        <x:v>Directional synthesis of official messaging and current retailer/review signals; not a normalized score.</x:v>
      </x:c>
      <x:c r="X6" s="164" t="str">
        <x:v>Inferred: prioritize premium innovation and omni-channel demand while maintaining selective positioning.</x:v>
      </x:c>
      <x:c r="Y6" s="164" t="str">
        <x:v>Time-Filler 5XP, NCEF Revitalize/Reverse and multi-correction product systems.</x:v>
      </x:c>
      <x:c r="Z6" s="164" t="str">
        <x:v>https://ca.filorga.com/</x:v>
      </x:c>
      <x:c r="AA6" s="164" t="str">
        <x:v>https://us.filorga.com/products/age-purify-mask</x:v>
      </x:c>
      <x:c r="AB6" s="164" t="str">
        <x:v>https://investor.colgatepalmolive.com/static-files/c4a7e20c-1aa8-4bb1-bd4b-74755c99688f</x:v>
      </x:c>
      <x:c r="AC6" s="164" t="str">
        <x:v>https://investor.colgatepalmolive.com/static-files/ca92df4c-8d85-4df1-bf67-c2b76b8b36fe</x:v>
      </x:c>
      <x:c r="AD6" s="164" t="str">
        <x:v>2026-08-31</x:v>
      </x:c>
      <x:c r="AE6" s="167" t="str">
        <x:v>Reported: presence/share scope/sources. Modeled: sales/channel/retailer/marketing. Directional: sentiment and inferred priorities.</x:v>
      </x:c>
    </x:row>
    <x:row r="7" ht="18" customHeight="1">
      <x:c r="A7" s="163" t="str">
        <x:v>USA-HELLO</x:v>
      </x:c>
      <x:c r="B7" s="164" t="str">
        <x:v>USA</x:v>
      </x:c>
      <x:c r="C7" s="164" t="str">
        <x:v>hello</x:v>
      </x:c>
      <x:c r="D7" s="164" t="str">
        <x:v>Oral Care</x:v>
      </x:c>
      <x:c r="E7" s="164" t="str">
        <x:v>Friendly, design-led oral care emphasizing enjoyable flavors, ingredient transparency and accessible natural-positioned choices.</x:v>
      </x:c>
      <x:c r="F7" s="164" t="str">
        <x:v>Verified first-party catalog + current retailer evidence</x:v>
      </x:c>
      <x:c r="G7" s="164" t="str">
        <x:v>High</x:v>
      </x:c>
      <x:c r="H7" s="164" t="str">
        <x:v>OPHC</x:v>
      </x:c>
      <x:c r="I7" s="165" t="n">
        <x:f>SUMIFS(Assumptions!$D$2:$D$35,Assumptions!$A$2:$A$35,$B7,Assumptions!$B$2:$B$35,$C7)</x:f>
        <x:v>3596</x:v>
      </x:c>
      <x:c r="J7" s="166" t="n">
        <x:f>SUMIFS(Assumptions!$E$2:$E$35,Assumptions!$A$2:$A$35,$B7,Assumptions!$B$2:$B$35,$C7)</x:f>
        <x:v>0.022000000000000002</x:v>
      </x:c>
      <x:c r="K7" s="165" t="n">
        <x:f>I7*J7*SUMIFS(Assumptions!$F$2:$F$35,Assumptions!$A$2:$A$35,$B7,Assumptions!$B$2:$B$35,$C7)</x:f>
        <x:v>55.378400000000006</x:v>
      </x:c>
      <x:c r="L7" s="165" t="n">
        <x:f>I7*J7</x:f>
        <x:v>79.11200000000001</x:v>
      </x:c>
      <x:c r="M7" s="165" t="n">
        <x:f>I7*J7*SUMIFS(Assumptions!$G$2:$G$35,Assumptions!$A$2:$A$35,$B7,Assumptions!$B$2:$B$35,$C7)</x:f>
        <x:v>102.84560000000002</x:v>
      </x:c>
      <x:c r="N7" s="166" t="n">
        <x:f>SUMIFS(Assumptions!$H$2:$H$35,Assumptions!$A$2:$A$35,$B7,Assumptions!$B$2:$B$35,$C7)</x:f>
        <x:v>0.8</x:v>
      </x:c>
      <x:c r="O7" s="166" t="n">
        <x:f>SUMIFS(Assumptions!$I$2:$I$35,Assumptions!$A$2:$A$35,$B7,Assumptions!$B$2:$B$35,$C7)</x:f>
        <x:v>0.2</x:v>
      </x:c>
      <x:c r="P7" s="164" t="str">
        <x:v>Walmart: ~$ 20.6M; Amazon: ~$ 11.1M; Target: ~$ 9.5M</x:v>
      </x:c>
      <x:c r="Q7" s="165" t="n">
        <x:f>L7*SUMIFS(Assumptions!$J$2:$J$35,Assumptions!$A$2:$A$35,$B7,Assumptions!$B$2:$B$35,$C7)</x:f>
        <x:v>10.521896000000002</x:v>
      </x:c>
      <x:c r="R7" s="164" t="str">
        <x:v>Not publicly disclosed at brand-market-category level</x:v>
      </x:c>
      <x:c r="S7" s="164" t="str">
        <x:v>Paid Nielsen/NIQ/Circana or internal data required</x:v>
      </x:c>
      <x:c r="T7" s="164" t="str">
        <x:v>Lowercase hello name; colorful playful packs; flavor/texture novelty; ingredient and sustainability cues.</x:v>
      </x:c>
      <x:c r="U7" s="164" t="str">
        <x:v>Make brushing fun, approachable ingredients, kids/family routines, foam and flavor experimentation.</x:v>
      </x:c>
      <x:c r="V7" s="164" t="str">
        <x:v>Positive among design- and ingredient-conscious shoppers; flavor, foam and fluoride preferences are polarizing.</x:v>
      </x:c>
      <x:c r="W7" s="164" t="str">
        <x:v>Directional synthesis of official messaging and current retailer/review signals; not a normalized score.</x:v>
      </x:c>
      <x:c r="X7" s="164" t="str">
        <x:v>Inferred from corporate strategy: use premium innovation and omni-channel demand generation to scale differentiated oral-care formats.</x:v>
      </x:c>
      <x:c r="Y7" s="164" t="str">
        <x:v>Whipped foaming toothpaste, kids flavors, tablets and alternative-format oral care.</x:v>
      </x:c>
      <x:c r="Z7" s="164" t="str">
        <x:v>https://www.hello-products.com/</x:v>
      </x:c>
      <x:c r="AA7" s="164" t="str">
        <x:v>https://www.hello-products.com/collections/adult-toothbrushes | https://www.target.com/p/hello-whipped-dream-toothpaste-mellow-mint-4oz/-/A-94823720</x:v>
      </x:c>
      <x:c r="AB7" s="164" t="str">
        <x:v>https://investor.colgatepalmolive.com/static-files/c4a7e20c-1aa8-4bb1-bd4b-74755c99688f</x:v>
      </x:c>
      <x:c r="AC7" s="164" t="str">
        <x:v>https://investor.colgatepalmolive.com/static-files/ca92df4c-8d85-4df1-bf67-c2b76b8b36fe</x:v>
      </x:c>
      <x:c r="AD7" s="164" t="str">
        <x:v>2026-08-31</x:v>
      </x:c>
      <x:c r="AE7" s="167" t="str">
        <x:v>Reported: presence/share scope/sources. Modeled: sales/channel/retailer/marketing. Directional: sentiment and inferred priorities.</x:v>
      </x:c>
    </x:row>
    <x:row r="8" ht="18" customHeight="1">
      <x:c r="A8" s="163" t="str">
        <x:v>USA-HILL-S-PRESCRIPTION-DIET</x:v>
      </x:c>
      <x:c r="B8" s="164" t="str">
        <x:v>USA</x:v>
      </x:c>
      <x:c r="C8" s="164" t="str">
        <x:v>Hill's Prescription Diet</x:v>
      </x:c>
      <x:c r="D8" s="164" t="str">
        <x:v>Pet Nutrition</x:v>
      </x:c>
      <x:c r="E8" s="164" t="str">
        <x:v>Veterinary therapeutic nutrition designed to support diagnosed health conditions in dogs and cats.</x:v>
      </x:c>
      <x:c r="F8" s="164" t="str">
        <x:v>Verified first-party catalog + current retailer evidence</x:v>
      </x:c>
      <x:c r="G8" s="164" t="str">
        <x:v>High</x:v>
      </x:c>
      <x:c r="H8" s="164" t="str">
        <x:v>Pet Nutrition</x:v>
      </x:c>
      <x:c r="I8" s="165" t="n">
        <x:f>SUMIFS(Assumptions!$D$2:$D$35,Assumptions!$A$2:$A$35,$B8,Assumptions!$B$2:$B$35,$C8)</x:f>
        <x:v>3062</x:v>
      </x:c>
      <x:c r="J8" s="166" t="n">
        <x:f>SUMIFS(Assumptions!$E$2:$E$35,Assumptions!$A$2:$A$35,$B8,Assumptions!$B$2:$B$35,$C8)</x:f>
        <x:v>0.35</x:v>
      </x:c>
      <x:c r="K8" s="165" t="n">
        <x:f>I8*J8*SUMIFS(Assumptions!$F$2:$F$35,Assumptions!$A$2:$A$35,$B8,Assumptions!$B$2:$B$35,$C8)</x:f>
        <x:v>750.1899999999999</x:v>
      </x:c>
      <x:c r="L8" s="165" t="n">
        <x:f>I8*J8</x:f>
        <x:v>1071.7</x:v>
      </x:c>
      <x:c r="M8" s="165" t="n">
        <x:f>I8*J8*SUMIFS(Assumptions!$G$2:$G$35,Assumptions!$A$2:$A$35,$B8,Assumptions!$B$2:$B$35,$C8)</x:f>
        <x:v>1393.21</x:v>
      </x:c>
      <x:c r="N8" s="166" t="n">
        <x:f>SUMIFS(Assumptions!$H$2:$H$35,Assumptions!$A$2:$A$35,$B8,Assumptions!$B$2:$B$35,$C8)</x:f>
        <x:v>0.45</x:v>
      </x:c>
      <x:c r="O8" s="166" t="n">
        <x:f>SUMIFS(Assumptions!$I$2:$I$35,Assumptions!$A$2:$A$35,$B8,Assumptions!$B$2:$B$35,$C8)</x:f>
        <x:v>0.55</x:v>
      </x:c>
      <x:c r="P8" s="164" t="str">
        <x:v>Chewy: ~$ 267.9M; Veterinary clinics: ~$ 214.3M; PetSmart: ~$ 192.9M</x:v>
      </x:c>
      <x:c r="Q8" s="165" t="n">
        <x:f>L8*SUMIFS(Assumptions!$J$2:$J$35,Assumptions!$A$2:$A$35,$B8,Assumptions!$B$2:$B$35,$C8)</x:f>
        <x:v>142.5361</x:v>
      </x:c>
      <x:c r="R8" s="164" t="str">
        <x:v>Not publicly disclosed at brand-market-category level</x:v>
      </x:c>
      <x:c r="S8" s="164" t="str">
        <x:v>Paid Nielsen/NIQ/Circana or internal data required</x:v>
      </x:c>
      <x:c r="T8" s="164" t="str">
        <x:v>Vet authorization; condition-first navigation; clinical research; therapeutic sub-lines and strong e-commerce replenishment.</x:v>
      </x:c>
      <x:c r="U8" s="164" t="str">
        <x:v>Clinically supported nutrition, vet partnership, condition management and quality of life.</x:v>
      </x:c>
      <x:c r="V8" s="164" t="str">
        <x:v>Positive-to-mixed: health outcomes and vet confidence are strengths; prescription access, price and palatability are common frictions.</x:v>
      </x:c>
      <x:c r="W8" s="164" t="str">
        <x:v>Directional synthesis of official messaging and current retailer/review signals; not a normalized score.</x:v>
      </x:c>
      <x:c r="X8" s="164" t="str">
        <x:v>Management-stated: build on therapeutic-category share gains with e-commerce and omni-channel activations.</x:v>
      </x:c>
      <x:c r="Y8" s="164" t="str">
        <x:v>ONC Care cancer-support nutrition and continued condition-specific therapeutic formulas.</x:v>
      </x:c>
      <x:c r="Z8" s="164" t="str">
        <x:v>https://investor.colgatepalmolive.com/static-files/ca92df4c-8d85-4df1-bf67-c2b76b8b36fe</x:v>
      </x:c>
      <x:c r="AA8" s="164" t="str">
        <x:v>https://www.hillspet.com/cat-food/prescription-diet-ad-urgent-care-canned | https://www.petco.com/brand/hills-prescription-diet</x:v>
      </x:c>
      <x:c r="AB8" s="164" t="str">
        <x:v>https://investor.colgatepalmolive.com/static-files/c4a7e20c-1aa8-4bb1-bd4b-74755c99688f</x:v>
      </x:c>
      <x:c r="AC8" s="164" t="str">
        <x:v>https://investor.colgatepalmolive.com/static-files/ca92df4c-8d85-4df1-bf67-c2b76b8b36fe</x:v>
      </x:c>
      <x:c r="AD8" s="164" t="str">
        <x:v>2026-08-31</x:v>
      </x:c>
      <x:c r="AE8" s="167" t="str">
        <x:v>Reported: presence/share scope/sources. Modeled: sales/channel/retailer/marketing. Directional: sentiment and inferred priorities.</x:v>
      </x:c>
    </x:row>
    <x:row r="9" ht="18" customHeight="1">
      <x:c r="A9" s="163" t="str">
        <x:v>USA-HILL-S-SCIENCE-DIET</x:v>
      </x:c>
      <x:c r="B9" s="164" t="str">
        <x:v>USA</x:v>
      </x:c>
      <x:c r="C9" s="164" t="str">
        <x:v>Hill's Science Diet</x:v>
      </x:c>
      <x:c r="D9" s="164" t="str">
        <x:v>Pet Nutrition</x:v>
      </x:c>
      <x:c r="E9" s="164" t="str">
        <x:v>Science-led everyday pet nutrition formulated by veterinarians and nutritionists for life-stage and wellness needs.</x:v>
      </x:c>
      <x:c r="F9" s="164" t="str">
        <x:v>Verified first-party catalog + current retailer evidence</x:v>
      </x:c>
      <x:c r="G9" s="164" t="str">
        <x:v>High</x:v>
      </x:c>
      <x:c r="H9" s="164" t="str">
        <x:v>Pet Nutrition</x:v>
      </x:c>
      <x:c r="I9" s="165" t="n">
        <x:f>SUMIFS(Assumptions!$D$2:$D$35,Assumptions!$A$2:$A$35,$B9,Assumptions!$B$2:$B$35,$C9)</x:f>
        <x:v>3062</x:v>
      </x:c>
      <x:c r="J9" s="166" t="n">
        <x:f>SUMIFS(Assumptions!$E$2:$E$35,Assumptions!$A$2:$A$35,$B9,Assumptions!$B$2:$B$35,$C9)</x:f>
        <x:v>0.65</x:v>
      </x:c>
      <x:c r="K9" s="165" t="n">
        <x:f>I9*J9*SUMIFS(Assumptions!$F$2:$F$35,Assumptions!$A$2:$A$35,$B9,Assumptions!$B$2:$B$35,$C9)</x:f>
        <x:v>1393.2099999999998</x:v>
      </x:c>
      <x:c r="L9" s="165" t="n">
        <x:f>I9*J9</x:f>
        <x:v>1990.3</x:v>
      </x:c>
      <x:c r="M9" s="165" t="n">
        <x:f>I9*J9*SUMIFS(Assumptions!$G$2:$G$35,Assumptions!$A$2:$A$35,$B9,Assumptions!$B$2:$B$35,$C9)</x:f>
        <x:v>2587.39</x:v>
      </x:c>
      <x:c r="N9" s="166" t="n">
        <x:f>SUMIFS(Assumptions!$H$2:$H$35,Assumptions!$A$2:$A$35,$B9,Assumptions!$B$2:$B$35,$C9)</x:f>
        <x:v>0.45</x:v>
      </x:c>
      <x:c r="O9" s="166" t="n">
        <x:f>SUMIFS(Assumptions!$I$2:$I$35,Assumptions!$A$2:$A$35,$B9,Assumptions!$B$2:$B$35,$C9)</x:f>
        <x:v>0.55</x:v>
      </x:c>
      <x:c r="P9" s="164" t="str">
        <x:v>Chewy: ~$ 497.6M; Veterinary clinics: ~$ 398.1M; PetSmart: ~$ 358.3M</x:v>
      </x:c>
      <x:c r="Q9" s="165" t="n">
        <x:f>L9*SUMIFS(Assumptions!$J$2:$J$35,Assumptions!$A$2:$A$35,$B9,Assumptions!$B$2:$B$35,$C9)</x:f>
        <x:v>264.7099</x:v>
      </x:c>
      <x:c r="R9" s="164" t="str">
        <x:v>Not publicly disclosed at brand-market-category level</x:v>
      </x:c>
      <x:c r="S9" s="164" t="str">
        <x:v>Paid Nielsen/NIQ/Circana or internal data required</x:v>
      </x:c>
      <x:c r="T9" s="164" t="str">
        <x:v>Veterinary/science credibility; breed, age and condition navigation; feeding guidance; premium specialist distribution.</x:v>
      </x:c>
      <x:c r="U9" s="164" t="str">
        <x:v>Biology-based nutrition, measurable pet health, life-stage personalization and vet trust.</x:v>
      </x:c>
      <x:c r="V9" s="164" t="str">
        <x:v>Positive-to-mixed: strong vet trust and perceived outcomes; premium price, palatability and ingredient preferences drive criticism.</x:v>
      </x:c>
      <x:c r="W9" s="164" t="str">
        <x:v>Directional synthesis of official messaging and current retailer/review signals; not a normalized score.</x:v>
      </x:c>
      <x:c r="X9" s="164" t="str">
        <x:v>Management-stated: phased rollout of Science Diet Single Protein dog food in the fresh segment, supported by omni-channel demand generation.</x:v>
      </x:c>
      <x:c r="Y9" s="164" t="str">
        <x:v>Science Diet Single Protein fresh dog food; precision nutrition by life stage and health need.</x:v>
      </x:c>
      <x:c r="Z9" s="164" t="str">
        <x:v>https://investor.colgatepalmolive.com/static-files/ca92df4c-8d85-4df1-bf67-c2b76b8b36fe</x:v>
      </x:c>
      <x:c r="AA9" s="164" t="str">
        <x:v>https://www.hillspet.com/cat-food/prescription-diet-ad-urgent-care-canned | https://www.petco.com/product/hills-science-diet-perfect-digestion-chicken-brown-rice-and-whole-oats-recipe-adult-dry-dog-food</x:v>
      </x:c>
      <x:c r="AB9" s="164" t="str">
        <x:v>https://investor.colgatepalmolive.com/static-files/c4a7e20c-1aa8-4bb1-bd4b-74755c99688f</x:v>
      </x:c>
      <x:c r="AC9" s="164" t="str">
        <x:v>https://investor.colgatepalmolive.com/static-files/ca92df4c-8d85-4df1-bf67-c2b76b8b36fe</x:v>
      </x:c>
      <x:c r="AD9" s="164" t="str">
        <x:v>2026-08-31</x:v>
      </x:c>
      <x:c r="AE9" s="167" t="str">
        <x:v>Reported: presence/share scope/sources. Modeled: sales/channel/retailer/marketing. Directional: sentiment and inferred priorities.</x:v>
      </x:c>
    </x:row>
    <x:row r="10" ht="18" customHeight="1">
      <x:c r="A10" s="163" t="str">
        <x:v>USA-IRISH-SPRING</x:v>
      </x:c>
      <x:c r="B10" s="164" t="str">
        <x:v>USA</x:v>
      </x:c>
      <x:c r="C10" s="164" t="str">
        <x:v>Irish Spring</x:v>
      </x:c>
      <x:c r="D10" s="164" t="str">
        <x:v>Personal Care</x:v>
      </x:c>
      <x:c r="E10" s="164" t="str">
        <x:v>High-recognition men’s cleansing centered on strong freshness, deodorizing and value.</x:v>
      </x:c>
      <x:c r="F10" s="164" t="str">
        <x:v>Verified first-party catalog + current retailer evidence</x:v>
      </x:c>
      <x:c r="G10" s="164" t="str">
        <x:v>High</x:v>
      </x:c>
      <x:c r="H10" s="164" t="str">
        <x:v>OPHC</x:v>
      </x:c>
      <x:c r="I10" s="165" t="n">
        <x:f>SUMIFS(Assumptions!$D$2:$D$35,Assumptions!$A$2:$A$35,$B10,Assumptions!$B$2:$B$35,$C10)</x:f>
        <x:v>3596</x:v>
      </x:c>
      <x:c r="J10" s="166" t="n">
        <x:f>SUMIFS(Assumptions!$E$2:$E$35,Assumptions!$A$2:$A$35,$B10,Assumptions!$B$2:$B$35,$C10)</x:f>
        <x:v>0.06</x:v>
      </x:c>
      <x:c r="K10" s="165" t="n">
        <x:f>I10*J10*SUMIFS(Assumptions!$F$2:$F$35,Assumptions!$A$2:$A$35,$B10,Assumptions!$B$2:$B$35,$C10)</x:f>
        <x:v>151.03199999999998</x:v>
      </x:c>
      <x:c r="L10" s="165" t="n">
        <x:f>I10*J10</x:f>
        <x:v>215.76</x:v>
      </x:c>
      <x:c r="M10" s="165" t="n">
        <x:f>I10*J10*SUMIFS(Assumptions!$G$2:$G$35,Assumptions!$A$2:$A$35,$B10,Assumptions!$B$2:$B$35,$C10)</x:f>
        <x:v>280.488</x:v>
      </x:c>
      <x:c r="N10" s="166" t="n">
        <x:f>SUMIFS(Assumptions!$H$2:$H$35,Assumptions!$A$2:$A$35,$B10,Assumptions!$B$2:$B$35,$C10)</x:f>
        <x:v>0.85</x:v>
      </x:c>
      <x:c r="O10" s="166" t="n">
        <x:f>SUMIFS(Assumptions!$I$2:$I$35,Assumptions!$A$2:$A$35,$B10,Assumptions!$B$2:$B$35,$C10)</x:f>
        <x:v>0.15</x:v>
      </x:c>
      <x:c r="P10" s="164" t="str">
        <x:v>Walmart: ~$ 56.1M; Amazon: ~$ 30.2M; Target: ~$ 25.9M</x:v>
      </x:c>
      <x:c r="Q10" s="165" t="n">
        <x:f>L10*SUMIFS(Assumptions!$J$2:$J$35,Assumptions!$A$2:$A$35,$B10,Assumptions!$B$2:$B$35,$C10)</x:f>
        <x:v>28.696080000000002</x:v>
      </x:c>
      <x:c r="R10" s="164" t="str">
        <x:v>Not publicly disclosed at brand-market-category level</x:v>
      </x:c>
      <x:c r="S10" s="164" t="str">
        <x:v>Paid Nielsen/NIQ/Circana or internal data required</x:v>
      </x:c>
      <x:c r="T10" s="164" t="str">
        <x:v>Green color, outdoors/freshness world, distinctive scent, bar and body-wash formats.</x:v>
      </x:c>
      <x:c r="U10" s="164" t="str">
        <x:v>Long-lasting freshness, active masculinity, odor control and high-energy humor.</x:v>
      </x:c>
      <x:c r="V10" s="164" t="str">
        <x:v>Mixed-to-positive: strong clean/fresh signal and value; scent strength and dryness are polarizing.</x:v>
      </x:c>
      <x:c r="W10" s="164" t="str">
        <x:v>Directional synthesis of official messaging and current retailer/review signals; not a normalized score.</x:v>
      </x:c>
      <x:c r="X10" s="164" t="str">
        <x:v>Inferred: defend freshness equity with strong retail execution and scent/format innovation.</x:v>
      </x:c>
      <x:c r="Y10" s="164" t="str">
        <x:v>Moisture and exfoliating variants, body wash and multi-bar value packs.</x:v>
      </x:c>
      <x:c r="Z10" s="164" t="str">
        <x:v>https://www.irishspring.com/</x:v>
      </x:c>
      <x:c r="AA10" s="164" t="str">
        <x:v>https://www.irishspring.com/en-us/products-range | https://www.amazon.com/Irish-Spring-Invisible-Antiperspirant-Deodorant/dp/B0D3CYRLXM</x:v>
      </x:c>
      <x:c r="AB10" s="164" t="str">
        <x:v>https://investor.colgatepalmolive.com/static-files/c4a7e20c-1aa8-4bb1-bd4b-74755c99688f</x:v>
      </x:c>
      <x:c r="AC10" s="164" t="str">
        <x:v>https://investor.colgatepalmolive.com/static-files/ca92df4c-8d85-4df1-bf67-c2b76b8b36fe</x:v>
      </x:c>
      <x:c r="AD10" s="164" t="str">
        <x:v>2026-08-31</x:v>
      </x:c>
      <x:c r="AE10" s="167" t="str">
        <x:v>Reported: presence/share scope/sources. Modeled: sales/channel/retailer/marketing. Directional: sentiment and inferred priorities.</x:v>
      </x:c>
    </x:row>
    <x:row r="11" ht="18" customHeight="1">
      <x:c r="A11" s="163" t="str">
        <x:v>USA-LADY-SPEED-STICK</x:v>
      </x:c>
      <x:c r="B11" s="164" t="str">
        <x:v>USA</x:v>
      </x:c>
      <x:c r="C11" s="164" t="str">
        <x:v>Lady Speed Stick</x:v>
      </x:c>
      <x:c r="D11" s="164" t="str">
        <x:v>Personal Care</x:v>
      </x:c>
      <x:c r="E11" s="164" t="str">
        <x:v>Accessible women’s antiperspirant/deodorant built on reliable protection and scent choice.</x:v>
      </x:c>
      <x:c r="F11" s="164" t="str">
        <x:v>Verified first-party catalog + current retailer evidence</x:v>
      </x:c>
      <x:c r="G11" s="164" t="str">
        <x:v>High</x:v>
      </x:c>
      <x:c r="H11" s="164" t="str">
        <x:v>OPHC</x:v>
      </x:c>
      <x:c r="I11" s="165" t="n">
        <x:f>SUMIFS(Assumptions!$D$2:$D$35,Assumptions!$A$2:$A$35,$B11,Assumptions!$B$2:$B$35,$C11)</x:f>
        <x:v>3596</x:v>
      </x:c>
      <x:c r="J11" s="166" t="n">
        <x:f>SUMIFS(Assumptions!$E$2:$E$35,Assumptions!$A$2:$A$35,$B11,Assumptions!$B$2:$B$35,$C11)</x:f>
        <x:v>0.01</x:v>
      </x:c>
      <x:c r="K11" s="165" t="n">
        <x:f>I11*J11*SUMIFS(Assumptions!$F$2:$F$35,Assumptions!$A$2:$A$35,$B11,Assumptions!$B$2:$B$35,$C11)</x:f>
        <x:v>25.172</x:v>
      </x:c>
      <x:c r="L11" s="165" t="n">
        <x:f>I11*J11</x:f>
        <x:v>35.96</x:v>
      </x:c>
      <x:c r="M11" s="165" t="n">
        <x:f>I11*J11*SUMIFS(Assumptions!$G$2:$G$35,Assumptions!$A$2:$A$35,$B11,Assumptions!$B$2:$B$35,$C11)</x:f>
        <x:v>46.748000000000005</x:v>
      </x:c>
      <x:c r="N11" s="166" t="n">
        <x:f>SUMIFS(Assumptions!$H$2:$H$35,Assumptions!$A$2:$A$35,$B11,Assumptions!$B$2:$B$35,$C11)</x:f>
        <x:v>0.85</x:v>
      </x:c>
      <x:c r="O11" s="166" t="n">
        <x:f>SUMIFS(Assumptions!$I$2:$I$35,Assumptions!$A$2:$A$35,$B11,Assumptions!$B$2:$B$35,$C11)</x:f>
        <x:v>0.15</x:v>
      </x:c>
      <x:c r="P11" s="164" t="str">
        <x:v>Walmart: ~$ 9.4M; Amazon: ~$ 5.0M; Target: ~$ 4.3M</x:v>
      </x:c>
      <x:c r="Q11" s="165" t="n">
        <x:f>L11*SUMIFS(Assumptions!$J$2:$J$35,Assumptions!$A$2:$A$35,$B11,Assumptions!$B$2:$B$35,$C11)</x:f>
        <x:v>4.78268</x:v>
      </x:c>
      <x:c r="R11" s="164" t="str">
        <x:v>Not publicly disclosed at brand-market-category level</x:v>
      </x:c>
      <x:c r="S11" s="164" t="str">
        <x:v>Paid Nielsen/NIQ/Circana or internal data required</x:v>
      </x:c>
      <x:c r="T11" s="164" t="str">
        <x:v>Benefit-first pack hierarchy; bright feminine colors; invisible/clinical and scent variants.</x:v>
      </x:c>
      <x:c r="U11" s="164" t="str">
        <x:v>Confidence, invisible protection, freshness and everyday value.</x:v>
      </x:c>
      <x:c r="V11" s="164" t="str">
        <x:v>Mixed-to-positive: protection and price resonate; scent and white-mark experiences vary.</x:v>
      </x:c>
      <x:c r="W11" s="164" t="str">
        <x:v>Directional synthesis of official messaging and current retailer/review signals; not a normalized score.</x:v>
      </x:c>
      <x:c r="X11" s="164" t="str">
        <x:v>Inferred: strengthen distribution and relevance through benefit clarity and omni-channel support.</x:v>
      </x:c>
      <x:c r="Y11" s="164" t="str">
        <x:v>Invisible protection, clinical-strength and gel/solid variants.</x:v>
      </x:c>
      <x:c r="Z11" s="164" t="str">
        <x:v>https://www.ladyspeedstick.com/</x:v>
      </x:c>
      <x:c r="AA11" s="164" t="str">
        <x:v>https://investor.colgatepalmolive.com/static-files/7e4a792d-9898-4f39-a32b-de64895f4b0c | https://www.target.com/c/beauty-personal-care-deals/lady-speed-stick/-/N-5514vZ55eg1</x:v>
      </x:c>
      <x:c r="AB11" s="164" t="str">
        <x:v>https://investor.colgatepalmolive.com/static-files/c4a7e20c-1aa8-4bb1-bd4b-74755c99688f</x:v>
      </x:c>
      <x:c r="AC11" s="164" t="str">
        <x:v>https://investor.colgatepalmolive.com/static-files/ca92df4c-8d85-4df1-bf67-c2b76b8b36fe</x:v>
      </x:c>
      <x:c r="AD11" s="164" t="str">
        <x:v>2026-08-31</x:v>
      </x:c>
      <x:c r="AE11" s="167" t="str">
        <x:v>Reported: presence/share scope/sources. Modeled: sales/channel/retailer/marketing. Directional: sentiment and inferred priorities.</x:v>
      </x:c>
    </x:row>
    <x:row r="12" ht="18" customHeight="1">
      <x:c r="A12" s="163" t="str">
        <x:v>USA-MURPHY-OIL-SOAP</x:v>
      </x:c>
      <x:c r="B12" s="164" t="str">
        <x:v>USA</x:v>
      </x:c>
      <x:c r="C12" s="164" t="str">
        <x:v>Murphy Oil Soap</x:v>
      </x:c>
      <x:c r="D12" s="164" t="str">
        <x:v>Home Care</x:v>
      </x:c>
      <x:c r="E12" s="164" t="str">
        <x:v>Heritage wood and multi-surface cleaner associated with gentle care and a recognizable oil-soap experience.</x:v>
      </x:c>
      <x:c r="F12" s="164" t="str">
        <x:v>Verified first-party/local catalog evidence</x:v>
      </x:c>
      <x:c r="G12" s="164" t="str">
        <x:v>High</x:v>
      </x:c>
      <x:c r="H12" s="164" t="str">
        <x:v>OPHC</x:v>
      </x:c>
      <x:c r="I12" s="165" t="n">
        <x:f>SUMIFS(Assumptions!$D$2:$D$35,Assumptions!$A$2:$A$35,$B12,Assumptions!$B$2:$B$35,$C12)</x:f>
        <x:v>3596</x:v>
      </x:c>
      <x:c r="J12" s="166" t="n">
        <x:f>SUMIFS(Assumptions!$E$2:$E$35,Assumptions!$A$2:$A$35,$B12,Assumptions!$B$2:$B$35,$C12)</x:f>
        <x:v>0.015</x:v>
      </x:c>
      <x:c r="K12" s="165" t="n">
        <x:f>I12*J12*SUMIFS(Assumptions!$F$2:$F$35,Assumptions!$A$2:$A$35,$B12,Assumptions!$B$2:$B$35,$C12)</x:f>
        <x:v>37.757999999999996</x:v>
      </x:c>
      <x:c r="L12" s="165" t="n">
        <x:f>I12*J12</x:f>
        <x:v>53.94</x:v>
      </x:c>
      <x:c r="M12" s="165" t="n">
        <x:f>I12*J12*SUMIFS(Assumptions!$G$2:$G$35,Assumptions!$A$2:$A$35,$B12,Assumptions!$B$2:$B$35,$C12)</x:f>
        <x:v>70.122</x:v>
      </x:c>
      <x:c r="N12" s="166" t="n">
        <x:f>SUMIFS(Assumptions!$H$2:$H$35,Assumptions!$A$2:$A$35,$B12,Assumptions!$B$2:$B$35,$C12)</x:f>
        <x:v>0.82</x:v>
      </x:c>
      <x:c r="O12" s="166" t="n">
        <x:f>SUMIFS(Assumptions!$I$2:$I$35,Assumptions!$A$2:$A$35,$B12,Assumptions!$B$2:$B$35,$C12)</x:f>
        <x:v>0.18</x:v>
      </x:c>
      <x:c r="P12" s="164" t="str">
        <x:v>Walmart: ~$ 14.0M; Amazon: ~$ 7.5M; Target: ~$ 6.5M</x:v>
      </x:c>
      <x:c r="Q12" s="165" t="n">
        <x:f>L12*SUMIFS(Assumptions!$J$2:$J$35,Assumptions!$A$2:$A$35,$B12,Assumptions!$B$2:$B$35,$C12)</x:f>
        <x:v>7.1740200000000005</x:v>
      </x:c>
      <x:c r="R12" s="164" t="str">
        <x:v>Not publicly disclosed at brand-market-category level</x:v>
      </x:c>
      <x:c r="S12" s="164" t="str">
        <x:v>Paid Nielsen/NIQ/Circana or internal data required</x:v>
      </x:c>
      <x:c r="T12" s="164" t="str">
        <x:v>Heritage branding; wood-care expertise; concentrated liquid; recognizable scent.</x:v>
      </x:c>
      <x:c r="U12" s="164" t="str">
        <x:v>Care for wood, trusted routines, gentle cleaning and home preservation.</x:v>
      </x:c>
      <x:c r="V12" s="164" t="str">
        <x:v>Mixed-to-positive: loyal users cite wood-care trust and scent; residue/dilution experiences vary.</x:v>
      </x:c>
      <x:c r="W12" s="164" t="str">
        <x:v>Directional synthesis of official messaging and current retailer/review signals; not a normalized score.</x:v>
      </x:c>
      <x:c r="X12" s="164" t="str">
        <x:v>Inferred: protect heritage equity while improving digital education on dilution, surfaces and usage.</x:v>
      </x:c>
      <x:c r="Y12" s="164" t="str">
        <x:v>Concentrated and ready-to-use wood/multi-surface formats.</x:v>
      </x:c>
      <x:c r="Z12" s="164" t="str">
        <x:v>https://www.murphyoilsoap.com/</x:v>
      </x:c>
      <x:c r="AA12" s="164" t="str">
        <x:v>https://www.murphyoilsoap.com/</x:v>
      </x:c>
      <x:c r="AB12" s="164" t="str">
        <x:v>https://investor.colgatepalmolive.com/static-files/c4a7e20c-1aa8-4bb1-bd4b-74755c99688f</x:v>
      </x:c>
      <x:c r="AC12" s="164" t="str">
        <x:v>https://investor.colgatepalmolive.com/static-files/ca92df4c-8d85-4df1-bf67-c2b76b8b36fe</x:v>
      </x:c>
      <x:c r="AD12" s="164" t="str">
        <x:v>2026-08-31</x:v>
      </x:c>
      <x:c r="AE12" s="167" t="str">
        <x:v>Reported: presence/share scope/sources. Modeled: sales/channel/retailer/marketing. Directional: sentiment and inferred priorities.</x:v>
      </x:c>
    </x:row>
    <x:row r="13" ht="18" customHeight="1">
      <x:c r="A13" s="163" t="str">
        <x:v>USA-PALMOLIVE</x:v>
      </x:c>
      <x:c r="B13" s="164" t="str">
        <x:v>USA</x:v>
      </x:c>
      <x:c r="C13" s="164" t="str">
        <x:v>Palmolive</x:v>
      </x:c>
      <x:c r="D13" s="164" t="str">
        <x:v>Home Care</x:v>
      </x:c>
      <x:c r="E13" s="164" t="str">
        <x:v>Mainstream dish care balancing grease-cutting performance, hand feel, scent and value.</x:v>
      </x:c>
      <x:c r="F13" s="164" t="str">
        <x:v>Verified first-party catalog + current retailer evidence</x:v>
      </x:c>
      <x:c r="G13" s="164" t="str">
        <x:v>High</x:v>
      </x:c>
      <x:c r="H13" s="164" t="str">
        <x:v>OPHC</x:v>
      </x:c>
      <x:c r="I13" s="165" t="n">
        <x:f>SUMIFS(Assumptions!$D$2:$D$35,Assumptions!$A$2:$A$35,$B13,Assumptions!$B$2:$B$35,$C13)</x:f>
        <x:v>3596</x:v>
      </x:c>
      <x:c r="J13" s="166" t="n">
        <x:f>SUMIFS(Assumptions!$E$2:$E$35,Assumptions!$A$2:$A$35,$B13,Assumptions!$B$2:$B$35,$C13)</x:f>
        <x:v>0.06</x:v>
      </x:c>
      <x:c r="K13" s="165" t="n">
        <x:f>I13*J13*SUMIFS(Assumptions!$F$2:$F$35,Assumptions!$A$2:$A$35,$B13,Assumptions!$B$2:$B$35,$C13)</x:f>
        <x:v>151.03199999999998</x:v>
      </x:c>
      <x:c r="L13" s="165" t="n">
        <x:f>I13*J13</x:f>
        <x:v>215.76</x:v>
      </x:c>
      <x:c r="M13" s="165" t="n">
        <x:f>I13*J13*SUMIFS(Assumptions!$G$2:$G$35,Assumptions!$A$2:$A$35,$B13,Assumptions!$B$2:$B$35,$C13)</x:f>
        <x:v>280.488</x:v>
      </x:c>
      <x:c r="N13" s="166" t="n">
        <x:f>SUMIFS(Assumptions!$H$2:$H$35,Assumptions!$A$2:$A$35,$B13,Assumptions!$B$2:$B$35,$C13)</x:f>
        <x:v>0.82</x:v>
      </x:c>
      <x:c r="O13" s="166" t="n">
        <x:f>SUMIFS(Assumptions!$I$2:$I$35,Assumptions!$A$2:$A$35,$B13,Assumptions!$B$2:$B$35,$C13)</x:f>
        <x:v>0.18</x:v>
      </x:c>
      <x:c r="P13" s="164" t="str">
        <x:v>Walmart: ~$ 56.1M; Amazon: ~$ 30.2M; Target: ~$ 25.9M</x:v>
      </x:c>
      <x:c r="Q13" s="165" t="n">
        <x:f>L13*SUMIFS(Assumptions!$J$2:$J$35,Assumptions!$A$2:$A$35,$B13,Assumptions!$B$2:$B$35,$C13)</x:f>
        <x:v>28.696080000000002</x:v>
      </x:c>
      <x:c r="R13" s="164" t="str">
        <x:v>Not publicly disclosed at brand-market-category level</x:v>
      </x:c>
      <x:c r="S13" s="164" t="str">
        <x:v>Paid Nielsen/NIQ/Circana or internal data required</x:v>
      </x:c>
      <x:c r="T13" s="164" t="str">
        <x:v>Green masterbrand; strength/gentleness duality; scent and concentrated-formula variants.</x:v>
      </x:c>
      <x:c r="U13" s="164" t="str">
        <x:v>Tough on grease, gentle experience, value and sustainable packaging/formulas.</x:v>
      </x:c>
      <x:c r="V13" s="164" t="str">
        <x:v>Mixed-to-positive: value and cleaning performance are strengths; scent and skin feel vary by user.</x:v>
      </x:c>
      <x:c r="W13" s="164" t="str">
        <x:v>Directional synthesis of official messaging and current retailer/review signals; not a normalized score.</x:v>
      </x:c>
      <x:c r="X13" s="164" t="str">
        <x:v>Inferred: support core dish-care superiority through improved execution, visible claims and omni-channel availability.</x:v>
      </x:c>
      <x:c r="Y13" s="164" t="str">
        <x:v>Concentrated dish liquids, antibacterial and eco-positioned formula/packaging variants.</x:v>
      </x:c>
      <x:c r="Z13" s="164" t="str">
        <x:v>https://www.palmolive.com/en-us/products</x:v>
      </x:c>
      <x:c r="AA13" s="164" t="str">
        <x:v>https://www.palmolive.com/en-ca | https://www.walmart.com/brand/colgate-palmolive/10015324</x:v>
      </x:c>
      <x:c r="AB13" s="164" t="str">
        <x:v>https://investor.colgatepalmolive.com/static-files/c4a7e20c-1aa8-4bb1-bd4b-74755c99688f</x:v>
      </x:c>
      <x:c r="AC13" s="164" t="str">
        <x:v>https://investor.colgatepalmolive.com/static-files/ca92df4c-8d85-4df1-bf67-c2b76b8b36fe</x:v>
      </x:c>
      <x:c r="AD13" s="164" t="str">
        <x:v>2026-08-31</x:v>
      </x:c>
      <x:c r="AE13" s="167" t="str">
        <x:v>Reported: presence/share scope/sources. Modeled: sales/channel/retailer/marketing. Directional: sentiment and inferred priorities.</x:v>
      </x:c>
    </x:row>
    <x:row r="14" ht="18" customHeight="1">
      <x:c r="A14" s="163" t="str">
        <x:v>USA-PCA-SKIN</x:v>
      </x:c>
      <x:c r="B14" s="164" t="str">
        <x:v>USA</x:v>
      </x:c>
      <x:c r="C14" s="164" t="str">
        <x:v>PCA SKIN</x:v>
      </x:c>
      <x:c r="D14" s="164" t="str">
        <x:v>Skin Health</x:v>
      </x:c>
      <x:c r="E14" s="164" t="str">
        <x:v>Professional, science-led skin care spanning corrective treatments, peels, serums and daily regimens.</x:v>
      </x:c>
      <x:c r="F14" s="164" t="str">
        <x:v>Verified first-party/local catalog evidence</x:v>
      </x:c>
      <x:c r="G14" s="164" t="str">
        <x:v>High</x:v>
      </x:c>
      <x:c r="H14" s="164" t="str">
        <x:v>OPHC</x:v>
      </x:c>
      <x:c r="I14" s="165" t="n">
        <x:f>SUMIFS(Assumptions!$D$2:$D$35,Assumptions!$A$2:$A$35,$B14,Assumptions!$B$2:$B$35,$C14)</x:f>
        <x:v>3596</x:v>
      </x:c>
      <x:c r="J14" s="166" t="n">
        <x:f>SUMIFS(Assumptions!$E$2:$E$35,Assumptions!$A$2:$A$35,$B14,Assumptions!$B$2:$B$35,$C14)</x:f>
        <x:v>0.035</x:v>
      </x:c>
      <x:c r="K14" s="165" t="n">
        <x:f>I14*J14*SUMIFS(Assumptions!$F$2:$F$35,Assumptions!$A$2:$A$35,$B14,Assumptions!$B$2:$B$35,$C14)</x:f>
        <x:v>88.102</x:v>
      </x:c>
      <x:c r="L14" s="165" t="n">
        <x:f>I14*J14</x:f>
        <x:v>125.86000000000001</x:v>
      </x:c>
      <x:c r="M14" s="165" t="n">
        <x:f>I14*J14*SUMIFS(Assumptions!$G$2:$G$35,Assumptions!$A$2:$A$35,$B14,Assumptions!$B$2:$B$35,$C14)</x:f>
        <x:v>163.61800000000002</x:v>
      </x:c>
      <x:c r="N14" s="166" t="n">
        <x:f>SUMIFS(Assumptions!$H$2:$H$35,Assumptions!$A$2:$A$35,$B14,Assumptions!$B$2:$B$35,$C14)</x:f>
        <x:v>0.35</x:v>
      </x:c>
      <x:c r="O14" s="166" t="n">
        <x:f>SUMIFS(Assumptions!$I$2:$I$35,Assumptions!$A$2:$A$35,$B14,Assumptions!$B$2:$B$35,$C14)</x:f>
        <x:v>0.65</x:v>
      </x:c>
      <x:c r="P14" s="164" t="str">
        <x:v>Professional/DTC: ~$ 56.7M; Dermstore/Ulta: ~$ 18.9M; Amazon: ~$ 18.9M</x:v>
      </x:c>
      <x:c r="Q14" s="165" t="n">
        <x:f>L14*SUMIFS(Assumptions!$J$2:$J$35,Assumptions!$A$2:$A$35,$B14,Assumptions!$B$2:$B$35,$C14)</x:f>
        <x:v>16.739380000000004</x:v>
      </x:c>
      <x:c r="R14" s="164" t="str">
        <x:v>Not publicly disclosed at brand-market-category level</x:v>
      </x:c>
      <x:c r="S14" s="164" t="str">
        <x:v>Paid Nielsen/NIQ/Circana or internal data required</x:v>
      </x:c>
      <x:c r="T14" s="164" t="str">
        <x:v>Professional education; clinical regimen architecture; ingredient-led claims; treatment-room affinity.</x:v>
      </x:c>
      <x:c r="U14" s="164" t="str">
        <x:v>Visible correction, professional protocols, ingredient science and personalized regimens.</x:v>
      </x:c>
      <x:c r="V14" s="164" t="str">
        <x:v>Positive-to-mixed: efficacy/professional trust are strengths; premium price and irritation/adjustment periods recur.</x:v>
      </x:c>
      <x:c r="W14" s="164" t="str">
        <x:v>Directional synthesis of official messaging and current retailer/review signals; not a normalized score.</x:v>
      </x:c>
      <x:c r="X14" s="164" t="str">
        <x:v>Inferred: build premium science-led innovation through professional and e-commerce education.</x:v>
      </x:c>
      <x:c r="Y14" s="164" t="str">
        <x:v>High-potency anti-aging serum and targeted retinol/brightening systems.</x:v>
      </x:c>
      <x:c r="Z14" s="164" t="str">
        <x:v>https://www.pcaskin.com/</x:v>
      </x:c>
      <x:c r="AA14" s="164" t="str">
        <x:v>https://pcaskin.com/products/body-therapy?bvstate=pg%3A2%2Fct%3Ar</x:v>
      </x:c>
      <x:c r="AB14" s="164" t="str">
        <x:v>https://investor.colgatepalmolive.com/static-files/c4a7e20c-1aa8-4bb1-bd4b-74755c99688f</x:v>
      </x:c>
      <x:c r="AC14" s="164" t="str">
        <x:v>https://investor.colgatepalmolive.com/static-files/ca92df4c-8d85-4df1-bf67-c2b76b8b36fe</x:v>
      </x:c>
      <x:c r="AD14" s="164" t="str">
        <x:v>2026-08-31</x:v>
      </x:c>
      <x:c r="AE14" s="167" t="str">
        <x:v>Reported: presence/share scope/sources. Modeled: sales/channel/retailer/marketing. Directional: sentiment and inferred priorities.</x:v>
      </x:c>
    </x:row>
    <x:row r="15" ht="18" customHeight="1">
      <x:c r="A15" s="163" t="str">
        <x:v>USA-SOFTSOAP</x:v>
      </x:c>
      <x:c r="B15" s="164" t="str">
        <x:v>USA</x:v>
      </x:c>
      <x:c r="C15" s="164" t="str">
        <x:v>Softsoap</x:v>
      </x:c>
      <x:c r="D15" s="164" t="str">
        <x:v>Personal Care</x:v>
      </x:c>
      <x:c r="E15" s="164" t="str">
        <x:v>Accessible hand and body cleansing with recognizable scents, moisturization and refill/value formats.</x:v>
      </x:c>
      <x:c r="F15" s="164" t="str">
        <x:v>Verified first-party catalog + current retailer evidence</x:v>
      </x:c>
      <x:c r="G15" s="164" t="str">
        <x:v>High</x:v>
      </x:c>
      <x:c r="H15" s="164" t="str">
        <x:v>OPHC</x:v>
      </x:c>
      <x:c r="I15" s="165" t="n">
        <x:f>SUMIFS(Assumptions!$D$2:$D$35,Assumptions!$A$2:$A$35,$B15,Assumptions!$B$2:$B$35,$C15)</x:f>
        <x:v>3596</x:v>
      </x:c>
      <x:c r="J15" s="166" t="n">
        <x:f>SUMIFS(Assumptions!$E$2:$E$35,Assumptions!$A$2:$A$35,$B15,Assumptions!$B$2:$B$35,$C15)</x:f>
        <x:v>0.08</x:v>
      </x:c>
      <x:c r="K15" s="165" t="n">
        <x:f>I15*J15*SUMIFS(Assumptions!$F$2:$F$35,Assumptions!$A$2:$A$35,$B15,Assumptions!$B$2:$B$35,$C15)</x:f>
        <x:v>201.376</x:v>
      </x:c>
      <x:c r="L15" s="165" t="n">
        <x:f>I15*J15</x:f>
        <x:v>287.68</x:v>
      </x:c>
      <x:c r="M15" s="165" t="n">
        <x:f>I15*J15*SUMIFS(Assumptions!$G$2:$G$35,Assumptions!$A$2:$A$35,$B15,Assumptions!$B$2:$B$35,$C15)</x:f>
        <x:v>373.98400000000004</x:v>
      </x:c>
      <x:c r="N15" s="166" t="n">
        <x:f>SUMIFS(Assumptions!$H$2:$H$35,Assumptions!$A$2:$A$35,$B15,Assumptions!$B$2:$B$35,$C15)</x:f>
        <x:v>0.85</x:v>
      </x:c>
      <x:c r="O15" s="166" t="n">
        <x:f>SUMIFS(Assumptions!$I$2:$I$35,Assumptions!$A$2:$A$35,$B15,Assumptions!$B$2:$B$35,$C15)</x:f>
        <x:v>0.15</x:v>
      </x:c>
      <x:c r="P15" s="164" t="str">
        <x:v>Walmart: ~$ 74.8M; Amazon: ~$ 40.3M; Target: ~$ 34.5M</x:v>
      </x:c>
      <x:c r="Q15" s="165" t="n">
        <x:f>L15*SUMIFS(Assumptions!$J$2:$J$35,Assumptions!$A$2:$A$35,$B15,Assumptions!$B$2:$B$35,$C15)</x:f>
        <x:v>38.26144</x:v>
      </x:c>
      <x:c r="R15" s="164" t="str">
        <x:v>Not publicly disclosed at brand-market-category level</x:v>
      </x:c>
      <x:c r="S15" s="164" t="str">
        <x:v>Paid Nielsen/NIQ/Circana or internal data required</x:v>
      </x:c>
      <x:c r="T15" s="164" t="str">
        <x:v>Clear pump bottles; scent/color coding; refill architecture; kitchen/bath ubiquity.</x:v>
      </x:c>
      <x:c r="U15" s="164" t="str">
        <x:v>Clean hands, skin feel, scent discovery, family hygiene and value.</x:v>
      </x:c>
      <x:c r="V15" s="164" t="str">
        <x:v>Mixed-to-positive: convenience, value and scent perform well; dryness and fragrance sensitivity recur.</x:v>
      </x:c>
      <x:c r="W15" s="164" t="str">
        <x:v>Directional synthesis of official messaging and current retailer/review signals; not a normalized score.</x:v>
      </x:c>
      <x:c r="X15" s="164" t="str">
        <x:v>Inferred: improve shelf and digital execution while highlighting formula and pack innovation.</x:v>
      </x:c>
      <x:c r="Y15" s="164" t="str">
        <x:v>Antibacterial and sensitive-skin variants; refill and moisturizing formats.</x:v>
      </x:c>
      <x:c r="Z15" s="164" t="str">
        <x:v>https://www.softsoap.com/</x:v>
      </x:c>
      <x:c r="AA15" s="164" t="str">
        <x:v>https://www.softsoap.com/en-us/products/body-wash/amalfi-orchards?bvstate=pg%3A2%2Fct%3Ar | https://www.walmart.com/c/kp/colgate-palmolive-softsoap</x:v>
      </x:c>
      <x:c r="AB15" s="164" t="str">
        <x:v>https://investor.colgatepalmolive.com/static-files/c4a7e20c-1aa8-4bb1-bd4b-74755c99688f</x:v>
      </x:c>
      <x:c r="AC15" s="164" t="str">
        <x:v>https://investor.colgatepalmolive.com/static-files/ca92df4c-8d85-4df1-bf67-c2b76b8b36fe</x:v>
      </x:c>
      <x:c r="AD15" s="164" t="str">
        <x:v>2026-08-31</x:v>
      </x:c>
      <x:c r="AE15" s="167" t="str">
        <x:v>Reported: presence/share scope/sources. Modeled: sales/channel/retailer/marketing. Directional: sentiment and inferred priorities.</x:v>
      </x:c>
    </x:row>
    <x:row r="16" ht="18" customHeight="1">
      <x:c r="A16" s="163" t="str">
        <x:v>USA-SPEED-STICK</x:v>
      </x:c>
      <x:c r="B16" s="164" t="str">
        <x:v>USA</x:v>
      </x:c>
      <x:c r="C16" s="164" t="str">
        <x:v>Speed Stick</x:v>
      </x:c>
      <x:c r="D16" s="164" t="str">
        <x:v>Personal Care</x:v>
      </x:c>
      <x:c r="E16" s="164" t="str">
        <x:v>Value-oriented men’s deodorant and antiperspirant offering straightforward odor and sweat protection.</x:v>
      </x:c>
      <x:c r="F16" s="164" t="str">
        <x:v>Verified current retailer evidence</x:v>
      </x:c>
      <x:c r="G16" s="164" t="str">
        <x:v>Medium-High</x:v>
      </x:c>
      <x:c r="H16" s="164" t="str">
        <x:v>OPHC</x:v>
      </x:c>
      <x:c r="I16" s="165" t="n">
        <x:f>SUMIFS(Assumptions!$D$2:$D$35,Assumptions!$A$2:$A$35,$B16,Assumptions!$B$2:$B$35,$C16)</x:f>
        <x:v>3596</x:v>
      </x:c>
      <x:c r="J16" s="166" t="n">
        <x:f>SUMIFS(Assumptions!$E$2:$E$35,Assumptions!$A$2:$A$35,$B16,Assumptions!$B$2:$B$35,$C16)</x:f>
        <x:v>0.02</x:v>
      </x:c>
      <x:c r="K16" s="165" t="n">
        <x:f>I16*J16*SUMIFS(Assumptions!$F$2:$F$35,Assumptions!$A$2:$A$35,$B16,Assumptions!$B$2:$B$35,$C16)</x:f>
        <x:v>50.344</x:v>
      </x:c>
      <x:c r="L16" s="165" t="n">
        <x:f>I16*J16</x:f>
        <x:v>71.92</x:v>
      </x:c>
      <x:c r="M16" s="165" t="n">
        <x:f>I16*J16*SUMIFS(Assumptions!$G$2:$G$35,Assumptions!$A$2:$A$35,$B16,Assumptions!$B$2:$B$35,$C16)</x:f>
        <x:v>93.49600000000001</x:v>
      </x:c>
      <x:c r="N16" s="166" t="n">
        <x:f>SUMIFS(Assumptions!$H$2:$H$35,Assumptions!$A$2:$A$35,$B16,Assumptions!$B$2:$B$35,$C16)</x:f>
        <x:v>0.85</x:v>
      </x:c>
      <x:c r="O16" s="166" t="n">
        <x:f>SUMIFS(Assumptions!$I$2:$I$35,Assumptions!$A$2:$A$35,$B16,Assumptions!$B$2:$B$35,$C16)</x:f>
        <x:v>0.15</x:v>
      </x:c>
      <x:c r="P16" s="164" t="str">
        <x:v>Walmart: ~$ 18.7M; Amazon: ~$ 10.1M; Target: ~$ 8.6M</x:v>
      </x:c>
      <x:c r="Q16" s="165" t="n">
        <x:f>L16*SUMIFS(Assumptions!$J$2:$J$35,Assumptions!$A$2:$A$35,$B16,Assumptions!$B$2:$B$35,$C16)</x:f>
        <x:v>9.56536</x:v>
      </x:c>
      <x:c r="R16" s="164" t="str">
        <x:v>Not publicly disclosed at brand-market-category level</x:v>
      </x:c>
      <x:c r="S16" s="164" t="str">
        <x:v>Paid Nielsen/NIQ/Circana or internal data required</x:v>
      </x:c>
      <x:c r="T16" s="164" t="str">
        <x:v>Bold masculine colors; benefit-first naming; deodorant/antiperspirant choice; classic scent equities.</x:v>
      </x:c>
      <x:c r="U16" s="164" t="str">
        <x:v>All-day protection, active confidence, simple value and classic freshness.</x:v>
      </x:c>
      <x:c r="V16" s="164" t="str">
        <x:v>Mixed-to-positive: affordability and protection are strengths; scent, residue and skin compatibility vary.</x:v>
      </x:c>
      <x:c r="W16" s="164" t="str">
        <x:v>Directional synthesis of official messaging and current retailer/review signals; not a normalized score.</x:v>
      </x:c>
      <x:c r="X16" s="164" t="str">
        <x:v>Inferred: renew distribution and digital discoverability behind clear protection claims and value.</x:v>
      </x:c>
      <x:c r="Y16" s="164" t="str">
        <x:v>Aluminum-free deodorant, Power protection and scent/format extensions.</x:v>
      </x:c>
      <x:c r="Z16" s="164" t="str">
        <x:v>https://www.speedstick.com/</x:v>
      </x:c>
      <x:c r="AA16" s="164" t="str">
        <x:v>https://business.walmart.com/reviews/product/271929452</x:v>
      </x:c>
      <x:c r="AB16" s="164" t="str">
        <x:v>https://investor.colgatepalmolive.com/static-files/c4a7e20c-1aa8-4bb1-bd4b-74755c99688f</x:v>
      </x:c>
      <x:c r="AC16" s="164" t="str">
        <x:v>https://investor.colgatepalmolive.com/static-files/ca92df4c-8d85-4df1-bf67-c2b76b8b36fe</x:v>
      </x:c>
      <x:c r="AD16" s="164" t="str">
        <x:v>2026-08-31</x:v>
      </x:c>
      <x:c r="AE16" s="167" t="str">
        <x:v>Reported: presence/share scope/sources. Modeled: sales/channel/retailer/marketing. Directional: sentiment and inferred priorities.</x:v>
      </x:c>
    </x:row>
    <x:row r="17" ht="18" customHeight="1">
      <x:c r="A17" s="163" t="str">
        <x:v>USA-SUAVITEL</x:v>
      </x:c>
      <x:c r="B17" s="164" t="str">
        <x:v>USA</x:v>
      </x:c>
      <x:c r="C17" s="164" t="str">
        <x:v>Suavitel</x:v>
      </x:c>
      <x:c r="D17" s="164" t="str">
        <x:v>Home Care</x:v>
      </x:c>
      <x:c r="E17" s="164" t="str">
        <x:v>Fabric care centered on softness, family care and long-lasting fragrance.</x:v>
      </x:c>
      <x:c r="F17" s="164" t="str">
        <x:v>Verified first-party catalog + current retailer evidence</x:v>
      </x:c>
      <x:c r="G17" s="164" t="str">
        <x:v>High</x:v>
      </x:c>
      <x:c r="H17" s="164" t="str">
        <x:v>OPHC</x:v>
      </x:c>
      <x:c r="I17" s="165" t="n">
        <x:f>SUMIFS(Assumptions!$D$2:$D$35,Assumptions!$A$2:$A$35,$B17,Assumptions!$B$2:$B$35,$C17)</x:f>
        <x:v>3596</x:v>
      </x:c>
      <x:c r="J17" s="166" t="n">
        <x:f>SUMIFS(Assumptions!$E$2:$E$35,Assumptions!$A$2:$A$35,$B17,Assumptions!$B$2:$B$35,$C17)</x:f>
        <x:v>0.03</x:v>
      </x:c>
      <x:c r="K17" s="165" t="n">
        <x:f>I17*J17*SUMIFS(Assumptions!$F$2:$F$35,Assumptions!$A$2:$A$35,$B17,Assumptions!$B$2:$B$35,$C17)</x:f>
        <x:v>75.51599999999999</x:v>
      </x:c>
      <x:c r="L17" s="165" t="n">
        <x:f>I17*J17</x:f>
        <x:v>107.88</x:v>
      </x:c>
      <x:c r="M17" s="165" t="n">
        <x:f>I17*J17*SUMIFS(Assumptions!$G$2:$G$35,Assumptions!$A$2:$A$35,$B17,Assumptions!$B$2:$B$35,$C17)</x:f>
        <x:v>140.244</x:v>
      </x:c>
      <x:c r="N17" s="166" t="n">
        <x:f>SUMIFS(Assumptions!$H$2:$H$35,Assumptions!$A$2:$A$35,$B17,Assumptions!$B$2:$B$35,$C17)</x:f>
        <x:v>0.82</x:v>
      </x:c>
      <x:c r="O17" s="166" t="n">
        <x:f>SUMIFS(Assumptions!$I$2:$I$35,Assumptions!$A$2:$A$35,$B17,Assumptions!$B$2:$B$35,$C17)</x:f>
        <x:v>0.18</x:v>
      </x:c>
      <x:c r="P17" s="164" t="str">
        <x:v>Walmart: ~$ 28.1M; Amazon: ~$ 15.1M; Target: ~$ 12.9M</x:v>
      </x:c>
      <x:c r="Q17" s="165" t="n">
        <x:f>L17*SUMIFS(Assumptions!$J$2:$J$35,Assumptions!$A$2:$A$35,$B17,Assumptions!$B$2:$B$35,$C17)</x:f>
        <x:v>14.348040000000001</x:v>
      </x:c>
      <x:c r="R17" s="164" t="str">
        <x:v>Not publicly disclosed at brand-market-category level</x:v>
      </x:c>
      <x:c r="S17" s="164" t="str">
        <x:v>Paid Nielsen/NIQ/Circana or internal data required</x:v>
      </x:c>
      <x:c r="T17" s="164" t="str">
        <x:v>Heart/family warmth; blue/pink scent coding; fragrance variants; Hispanic-market affinity.</x:v>
      </x:c>
      <x:c r="U17" s="164" t="str">
        <x:v>Care for family, irresistible softness, lasting scent and laundry ritual.</x:v>
      </x:c>
      <x:c r="V17" s="164" t="str">
        <x:v>Mixed-to-positive: softness and fragrance are key strengths; scent intensity and sensitivity concerns recur.</x:v>
      </x:c>
      <x:c r="W17" s="164" t="str">
        <x:v>Directional synthesis of official messaging and current retailer/review signals; not a normalized score.</x:v>
      </x:c>
      <x:c r="X17" s="164" t="str">
        <x:v>Inferred: support fragrance-led core and adjacent fabric refresh formats through omni-channel execution.</x:v>
      </x:c>
      <x:c r="Y17" s="164" t="str">
        <x:v>Shed Shield and Complete fabric refresher spray; concentrated softener variants.</x:v>
      </x:c>
      <x:c r="Z17" s="164" t="str">
        <x:v>https://www.suavitel.com/</x:v>
      </x:c>
      <x:c r="AA17" s="164" t="str">
        <x:v>https://www.suavitel.com/en-us/products/field-flowers-advanced-liquid | https://www.walmart.com/ip/Suavitel-Liquid-Fabric-Softener-and-Conditioner-Morning-Sun-105-oz-105-Small-Loads/3262867906</x:v>
      </x:c>
      <x:c r="AB17" s="164" t="str">
        <x:v>https://investor.colgatepalmolive.com/static-files/c4a7e20c-1aa8-4bb1-bd4b-74755c99688f</x:v>
      </x:c>
      <x:c r="AC17" s="164" t="str">
        <x:v>https://investor.colgatepalmolive.com/static-files/ca92df4c-8d85-4df1-bf67-c2b76b8b36fe</x:v>
      </x:c>
      <x:c r="AD17" s="164" t="str">
        <x:v>2026-08-31</x:v>
      </x:c>
      <x:c r="AE17" s="167" t="str">
        <x:v>Reported: presence/share scope/sources. Modeled: sales/channel/retailer/marketing. Directional: sentiment and inferred priorities.</x:v>
      </x:c>
    </x:row>
    <x:row r="18" ht="18" customHeight="1">
      <x:c r="A18" s="163" t="str">
        <x:v>USA-TOM-S-OF-MAINE</x:v>
      </x:c>
      <x:c r="B18" s="164" t="str">
        <x:v>USA</x:v>
      </x:c>
      <x:c r="C18" s="164" t="str">
        <x:v>Tom's of Maine</x:v>
      </x:c>
      <x:c r="D18" s="164" t="str">
        <x:v>Oral Care</x:v>
      </x:c>
      <x:c r="E18" s="164" t="str">
        <x:v>Natural-positioned personal and oral care built on ingredient transparency, responsibility and community giving.</x:v>
      </x:c>
      <x:c r="F18" s="164" t="str">
        <x:v>Verified first-party catalog + current retailer evidence</x:v>
      </x:c>
      <x:c r="G18" s="164" t="str">
        <x:v>High</x:v>
      </x:c>
      <x:c r="H18" s="164" t="str">
        <x:v>OPHC</x:v>
      </x:c>
      <x:c r="I18" s="165" t="n">
        <x:f>SUMIFS(Assumptions!$D$2:$D$35,Assumptions!$A$2:$A$35,$B18,Assumptions!$B$2:$B$35,$C18)</x:f>
        <x:v>3596</x:v>
      </x:c>
      <x:c r="J18" s="166" t="n">
        <x:f>SUMIFS(Assumptions!$E$2:$E$35,Assumptions!$A$2:$A$35,$B18,Assumptions!$B$2:$B$35,$C18)</x:f>
        <x:v>0.048</x:v>
      </x:c>
      <x:c r="K18" s="165" t="n">
        <x:f>I18*J18*SUMIFS(Assumptions!$F$2:$F$35,Assumptions!$A$2:$A$35,$B18,Assumptions!$B$2:$B$35,$C18)</x:f>
        <x:v>120.8256</x:v>
      </x:c>
      <x:c r="L18" s="165" t="n">
        <x:f>I18*J18</x:f>
        <x:v>172.608</x:v>
      </x:c>
      <x:c r="M18" s="165" t="n">
        <x:f>I18*J18*SUMIFS(Assumptions!$G$2:$G$35,Assumptions!$A$2:$A$35,$B18,Assumptions!$B$2:$B$35,$C18)</x:f>
        <x:v>224.3904</x:v>
      </x:c>
      <x:c r="N18" s="166" t="n">
        <x:f>SUMIFS(Assumptions!$H$2:$H$35,Assumptions!$A$2:$A$35,$B18,Assumptions!$B$2:$B$35,$C18)</x:f>
        <x:v>0.8</x:v>
      </x:c>
      <x:c r="O18" s="166" t="n">
        <x:f>SUMIFS(Assumptions!$I$2:$I$35,Assumptions!$A$2:$A$35,$B18,Assumptions!$B$2:$B$35,$C18)</x:f>
        <x:v>0.2</x:v>
      </x:c>
      <x:c r="P18" s="164" t="str">
        <x:v>Walmart: ~$ 44.9M; Amazon: ~$ 24.2M; Target: ~$ 20.7M</x:v>
      </x:c>
      <x:c r="Q18" s="165" t="n">
        <x:f>L18*SUMIFS(Assumptions!$J$2:$J$35,Assumptions!$A$2:$A$35,$B18,Assumptions!$B$2:$B$35,$C18)</x:f>
        <x:v>22.956864000000003</x:v>
      </x:c>
      <x:c r="R18" s="164" t="str">
        <x:v>Not publicly disclosed at brand-market-category level</x:v>
      </x:c>
      <x:c r="S18" s="164" t="str">
        <x:v>Paid Nielsen/NIQ/Circana or internal data required</x:v>
      </x:c>
      <x:c r="T18" s="164" t="str">
        <x:v>Maine provenance; natural ingredients; simple pack system; purpose/community credentials.</x:v>
      </x:c>
      <x:c r="U18" s="164" t="str">
        <x:v>Naturally sourced ingredients, responsible packaging, community impact and everyday family wellness.</x:v>
      </x:c>
      <x:c r="V18" s="164" t="str">
        <x:v>Mixed-to-positive: loyal natural-care users value ingredient choices; efficacy, texture and flavor generate mixed reviews.</x:v>
      </x:c>
      <x:c r="W18" s="164" t="str">
        <x:v>Directional synthesis of official messaging and current retailer/review signals; not a normalized score.</x:v>
      </x:c>
      <x:c r="X18" s="164" t="str">
        <x:v>Inferred: defend natural-care differentiation while supporting science-led claims and omni-channel visibility.</x:v>
      </x:c>
      <x:c r="Y18" s="164" t="str">
        <x:v>Fluoride and fluoride-free variants, natural whitening/sensitivity and plastic-reduction initiatives.</x:v>
      </x:c>
      <x:c r="Z18" s="164" t="str">
        <x:v>https://www.tomsofmaine.com/</x:v>
      </x:c>
      <x:c r="AA18" s="164" t="str">
        <x:v>https://www.tomsofmaine.com/products/natural-activated-charcoal-peppermint-toothpaste-with-fluoride | https://www.target.com/p/tom-39-s-of-maine-silly-strawberry-childrens-anticavity-toothpaste-5-1oz/-/A-76626522</x:v>
      </x:c>
      <x:c r="AB18" s="164" t="str">
        <x:v>https://investor.colgatepalmolive.com/static-files/c4a7e20c-1aa8-4bb1-bd4b-74755c99688f</x:v>
      </x:c>
      <x:c r="AC18" s="164" t="str">
        <x:v>https://investor.colgatepalmolive.com/static-files/ca92df4c-8d85-4df1-bf67-c2b76b8b36fe</x:v>
      </x:c>
      <x:c r="AD18" s="164" t="str">
        <x:v>2026-08-31</x:v>
      </x:c>
      <x:c r="AE18" s="167" t="str">
        <x:v>Reported: presence/share scope/sources. Modeled: sales/channel/retailer/marketing. Directional: sentiment and inferred priorities.</x:v>
      </x:c>
    </x:row>
    <x:row r="19" ht="18" customHeight="1">
      <x:c r="A19" s="163" t="str">
        <x:v>CA-COLGATE</x:v>
      </x:c>
      <x:c r="B19" s="164" t="str">
        <x:v>CA</x:v>
      </x:c>
      <x:c r="C19" s="164" t="str">
        <x:v>Colgate</x:v>
      </x:c>
      <x:c r="D19" s="164" t="str">
        <x:v>Oral Care</x:v>
      </x:c>
      <x:c r="E19" s="164" t="str">
        <x:v>Mass-premium oral-health leader spanning prevention, whitening, sensitivity, kids and professional oral care.</x:v>
      </x:c>
      <x:c r="F19" s="164" t="str">
        <x:v>Verified first-party catalog + current retailer evidence</x:v>
      </x:c>
      <x:c r="G19" s="164" t="str">
        <x:v>High</x:v>
      </x:c>
      <x:c r="H19" s="164" t="str">
        <x:v>OPHC</x:v>
      </x:c>
      <x:c r="I19" s="165" t="n">
        <x:f>SUMIFS(Assumptions!$D$2:$D$35,Assumptions!$A$2:$A$35,$B19,Assumptions!$B$2:$B$35,$C19)</x:f>
        <x:v>449</x:v>
      </x:c>
      <x:c r="J19" s="166" t="n">
        <x:f>SUMIFS(Assumptions!$E$2:$E$35,Assumptions!$A$2:$A$35,$B19,Assumptions!$B$2:$B$35,$C19)</x:f>
        <x:v>0.38</x:v>
      </x:c>
      <x:c r="K19" s="165" t="n">
        <x:f>I19*J19*SUMIFS(Assumptions!$F$2:$F$35,Assumptions!$A$2:$A$35,$B19,Assumptions!$B$2:$B$35,$C19)</x:f>
        <x:v>119.434</x:v>
      </x:c>
      <x:c r="L19" s="165" t="n">
        <x:f>I19*J19</x:f>
        <x:v>170.62</x:v>
      </x:c>
      <x:c r="M19" s="165" t="n">
        <x:f>I19*J19*SUMIFS(Assumptions!$G$2:$G$35,Assumptions!$A$2:$A$35,$B19,Assumptions!$B$2:$B$35,$C19)</x:f>
        <x:v>221.806</x:v>
      </x:c>
      <x:c r="N19" s="166" t="n">
        <x:f>SUMIFS(Assumptions!$H$2:$H$35,Assumptions!$A$2:$A$35,$B19,Assumptions!$B$2:$B$35,$C19)</x:f>
        <x:v>0.82</x:v>
      </x:c>
      <x:c r="O19" s="166" t="n">
        <x:f>SUMIFS(Assumptions!$I$2:$I$35,Assumptions!$A$2:$A$35,$B19,Assumptions!$B$2:$B$35,$C19)</x:f>
        <x:v>0.18</x:v>
      </x:c>
      <x:c r="P19" s="164" t="str">
        <x:v>Walmart Canada: ~$ 37.5M; Amazon Canada: ~$ 20.5M; Loblaw/Shoppers: ~$ 20.5M</x:v>
      </x:c>
      <x:c r="Q19" s="165" t="n">
        <x:f>L19*SUMIFS(Assumptions!$J$2:$J$35,Assumptions!$A$2:$A$35,$B19,Assumptions!$B$2:$B$35,$C19)</x:f>
        <x:v>22.69246</x:v>
      </x:c>
      <x:c r="R19" s="164" t="str">
        <x:v>Not publicly disclosed at brand-market-category level</x:v>
      </x:c>
      <x:c r="S19" s="164" t="str">
        <x:v>Paid Nielsen/NIQ/Circana or internal data required</x:v>
      </x:c>
      <x:c r="T19" s="164" t="str">
        <x:v>Red-and-white masterbrand; dentist/science authority; Total, Optic White, Max Fresh and Sensitive benefit platforms; strong shelf block.</x:v>
      </x:c>
      <x:c r="U19" s="164" t="str">
        <x:v>Whole-mouth prevention, premium whitening, clinical efficacy, healthy smiles and family routines.</x:v>
      </x:c>
      <x:c r="V19" s="164" t="str">
        <x:v>Mixed-to-positive directional signal: high awareness and trust; taste, price and sensitivity experiences vary by product.</x:v>
      </x:c>
      <x:c r="W19" s="164" t="str">
        <x:v>Directional synthesis of official messaging and current retailer/review signals; not a normalized score.</x:v>
      </x:c>
      <x:c r="X19" s="164" t="str">
        <x:v>Management-stated North America priority: improved execution, increased brand support and premium innovation, led by Optic White Pro Series with ActivShine Technology.</x:v>
      </x:c>
      <x:c r="Y19" s="164" t="str">
        <x:v>Optic White Pro Series with ActivShine; Total Active Prevention system; premium science-led innovation and recyclable packaging.</x:v>
      </x:c>
      <x:c r="Z19" s="164" t="str">
        <x:v>https://investor.colgatepalmolive.com/static-files/ca92df4c-8d85-4df1-bf67-c2b76b8b36fe</x:v>
      </x:c>
      <x:c r="AA19" s="164" t="str">
        <x:v>https://www.colgate.com/en-ca/products | https://www.walmart.ca/en/ip/Colgate-Cavity-Protection-Regular-Fluoride-Toothpaste-6-oz/43UGCKBN3ZNP</x:v>
      </x:c>
      <x:c r="AB19" s="164" t="str">
        <x:v>https://investor.colgatepalmolive.com/static-files/c4a7e20c-1aa8-4bb1-bd4b-74755c99688f</x:v>
      </x:c>
      <x:c r="AC19" s="164" t="str">
        <x:v>https://investor.colgatepalmolive.com/static-files/ca92df4c-8d85-4df1-bf67-c2b76b8b36fe</x:v>
      </x:c>
      <x:c r="AD19" s="164" t="str">
        <x:v>2026-08-31</x:v>
      </x:c>
      <x:c r="AE19" s="167" t="str">
        <x:v>Reported: presence/share scope/sources. Modeled: sales/channel/retailer/marketing. Directional: sentiment and inferred priorities.</x:v>
      </x:c>
    </x:row>
    <x:row r="20" ht="18" customHeight="1">
      <x:c r="A20" s="163" t="str">
        <x:v>CA-ELTAMD</x:v>
      </x:c>
      <x:c r="B20" s="164" t="str">
        <x:v>CA</x:v>
      </x:c>
      <x:c r="C20" s="164" t="str">
        <x:v>EltaMD</x:v>
      </x:c>
      <x:c r="D20" s="164" t="str">
        <x:v>Skin Health</x:v>
      </x:c>
      <x:c r="E20" s="164" t="str">
        <x:v>Dermatologist-recommended premium sun and skin care emphasizing broad-spectrum protection and skin compatibility.</x:v>
      </x:c>
      <x:c r="F20" s="164" t="str">
        <x:v>Verified current retailer evidence</x:v>
      </x:c>
      <x:c r="G20" s="164" t="str">
        <x:v>Medium-High</x:v>
      </x:c>
      <x:c r="H20" s="164" t="str">
        <x:v>OPHC</x:v>
      </x:c>
      <x:c r="I20" s="165" t="n">
        <x:f>SUMIFS(Assumptions!$D$2:$D$35,Assumptions!$A$2:$A$35,$B20,Assumptions!$B$2:$B$35,$C20)</x:f>
        <x:v>449</x:v>
      </x:c>
      <x:c r="J20" s="166" t="n">
        <x:f>SUMIFS(Assumptions!$E$2:$E$35,Assumptions!$A$2:$A$35,$B20,Assumptions!$B$2:$B$35,$C20)</x:f>
        <x:v>0.04</x:v>
      </x:c>
      <x:c r="K20" s="165" t="n">
        <x:f>I20*J20*SUMIFS(Assumptions!$F$2:$F$35,Assumptions!$A$2:$A$35,$B20,Assumptions!$B$2:$B$35,$C20)</x:f>
        <x:v>12.572</x:v>
      </x:c>
      <x:c r="L20" s="165" t="n">
        <x:f>I20*J20</x:f>
        <x:v>17.96</x:v>
      </x:c>
      <x:c r="M20" s="165" t="n">
        <x:f>I20*J20*SUMIFS(Assumptions!$G$2:$G$35,Assumptions!$A$2:$A$35,$B20,Assumptions!$B$2:$B$35,$C20)</x:f>
        <x:v>23.348000000000003</x:v>
      </x:c>
      <x:c r="N20" s="166" t="n">
        <x:f>SUMIFS(Assumptions!$H$2:$H$35,Assumptions!$A$2:$A$35,$B20,Assumptions!$B$2:$B$35,$C20)</x:f>
        <x:v>0.4</x:v>
      </x:c>
      <x:c r="O20" s="166" t="n">
        <x:f>SUMIFS(Assumptions!$I$2:$I$35,Assumptions!$A$2:$A$35,$B20,Assumptions!$B$2:$B$35,$C20)</x:f>
        <x:v>0.6</x:v>
      </x:c>
      <x:c r="P20" s="164" t="str">
        <x:v>Professional/DTC: ~$ 8.1M; Specialist e-commerce: ~$ 5.4M; Amazon Canada: ~$ 1.8M</x:v>
      </x:c>
      <x:c r="Q20" s="165" t="n">
        <x:f>L20*SUMIFS(Assumptions!$J$2:$J$35,Assumptions!$A$2:$A$35,$B20,Assumptions!$B$2:$B$35,$C20)</x:f>
        <x:v>2.3886800000000004</x:v>
      </x:c>
      <x:c r="R20" s="164" t="str">
        <x:v>Not publicly disclosed at brand-market-category level</x:v>
      </x:c>
      <x:c r="S20" s="164" t="str">
        <x:v>Paid Nielsen/NIQ/Circana or internal data required</x:v>
      </x:c>
      <x:c r="T20" s="164" t="str">
        <x:v>Clinical white packaging; dermatologist channel; UV Clear franchise; mineral/hybrid and tinted choices.</x:v>
      </x:c>
      <x:c r="U20" s="164" t="str">
        <x:v>Daily sun safety, sensitive/acne-prone skin, inclusive tinting and dermatology credibility.</x:v>
      </x:c>
      <x:c r="V20" s="164" t="str">
        <x:v>Positive-to-mixed: wearability and dermatologist trust are strong; price, tint match, pilling and white cast vary.</x:v>
      </x:c>
      <x:c r="W20" s="164" t="str">
        <x:v>Directional synthesis of official messaging and current retailer/review signals; not a normalized score.</x:v>
      </x:c>
      <x:c r="X20" s="164" t="str">
        <x:v>Inferred: scale science-led premium innovation, deep-tint inclusion and professional/omni-channel demand.</x:v>
      </x:c>
      <x:c r="Y20" s="164" t="str">
        <x:v>Deep Tint sunscreen for darker skin tones and specialized UV protection formats.</x:v>
      </x:c>
      <x:c r="Z20" s="164" t="str">
        <x:v>https://www.colgatepalmolive.com/en-us/innovation/skin-health</x:v>
      </x:c>
      <x:c r="AA20" s="164" t="str">
        <x:v>https://dermshop.ca/products/eltamd-uv-clear-broad-spectrum-spf-46</x:v>
      </x:c>
      <x:c r="AB20" s="164" t="str">
        <x:v>https://investor.colgatepalmolive.com/static-files/c4a7e20c-1aa8-4bb1-bd4b-74755c99688f</x:v>
      </x:c>
      <x:c r="AC20" s="164" t="str">
        <x:v>https://investor.colgatepalmolive.com/static-files/ca92df4c-8d85-4df1-bf67-c2b76b8b36fe</x:v>
      </x:c>
      <x:c r="AD20" s="164" t="str">
        <x:v>2026-08-31</x:v>
      </x:c>
      <x:c r="AE20" s="167" t="str">
        <x:v>Reported: presence/share scope/sources. Modeled: sales/channel/retailer/marketing. Directional: sentiment and inferred priorities.</x:v>
      </x:c>
    </x:row>
    <x:row r="21" ht="18" customHeight="1">
      <x:c r="A21" s="163" t="str">
        <x:v>CA-FABULOSO</x:v>
      </x:c>
      <x:c r="B21" s="164" t="str">
        <x:v>CA</x:v>
      </x:c>
      <x:c r="C21" s="164" t="str">
        <x:v>Fabuloso</x:v>
      </x:c>
      <x:c r="D21" s="164" t="str">
        <x:v>Home Care</x:v>
      </x:c>
      <x:c r="E21" s="164" t="str">
        <x:v>Value-forward multi-purpose cleaning with high-impact fragrance, color and culturally resonant personality.</x:v>
      </x:c>
      <x:c r="F21" s="164" t="str">
        <x:v>Verified current retailer evidence</x:v>
      </x:c>
      <x:c r="G21" s="164" t="str">
        <x:v>Medium-High</x:v>
      </x:c>
      <x:c r="H21" s="164" t="str">
        <x:v>OPHC</x:v>
      </x:c>
      <x:c r="I21" s="165" t="n">
        <x:f>SUMIFS(Assumptions!$D$2:$D$35,Assumptions!$A$2:$A$35,$B21,Assumptions!$B$2:$B$35,$C21)</x:f>
        <x:v>449</x:v>
      </x:c>
      <x:c r="J21" s="166" t="n">
        <x:f>SUMIFS(Assumptions!$E$2:$E$35,Assumptions!$A$2:$A$35,$B21,Assumptions!$B$2:$B$35,$C21)</x:f>
        <x:v>0.02</x:v>
      </x:c>
      <x:c r="K21" s="165" t="n">
        <x:f>I21*J21*SUMIFS(Assumptions!$F$2:$F$35,Assumptions!$A$2:$A$35,$B21,Assumptions!$B$2:$B$35,$C21)</x:f>
        <x:v>6.286</x:v>
      </x:c>
      <x:c r="L21" s="165" t="n">
        <x:f>I21*J21</x:f>
        <x:v>8.98</x:v>
      </x:c>
      <x:c r="M21" s="165" t="n">
        <x:f>I21*J21*SUMIFS(Assumptions!$G$2:$G$35,Assumptions!$A$2:$A$35,$B21,Assumptions!$B$2:$B$35,$C21)</x:f>
        <x:v>11.674000000000001</x:v>
      </x:c>
      <x:c r="N21" s="166" t="n">
        <x:f>SUMIFS(Assumptions!$H$2:$H$35,Assumptions!$A$2:$A$35,$B21,Assumptions!$B$2:$B$35,$C21)</x:f>
        <x:v>0.85</x:v>
      </x:c>
      <x:c r="O21" s="166" t="n">
        <x:f>SUMIFS(Assumptions!$I$2:$I$35,Assumptions!$A$2:$A$35,$B21,Assumptions!$B$2:$B$35,$C21)</x:f>
        <x:v>0.15</x:v>
      </x:c>
      <x:c r="P21" s="164" t="str">
        <x:v>Walmart Canada: ~$ 2.0M; Amazon Canada: ~$ 1.1M; Loblaw/Shoppers: ~$ 1.1M</x:v>
      </x:c>
      <x:c r="Q21" s="165" t="n">
        <x:f>L21*SUMIFS(Assumptions!$J$2:$J$35,Assumptions!$A$2:$A$35,$B21,Assumptions!$B$2:$B$35,$C21)</x:f>
        <x:v>1.1943400000000002</x:v>
      </x:c>
      <x:c r="R21" s="164" t="str">
        <x:v>Not publicly disclosed at brand-market-category level</x:v>
      </x:c>
      <x:c r="S21" s="164" t="str">
        <x:v>Paid Nielsen/NIQ/Circana or internal data required</x:v>
      </x:c>
      <x:c r="T21" s="164" t="str">
        <x:v>Purple masterbrand cue; vibrant liquids; fragrance-led naming; large value sizes and social-ready energy.</x:v>
      </x:c>
      <x:c r="U21" s="164" t="str">
        <x:v>Joyful cleaning, long-lasting fragrance, versatility, value and bold color.</x:v>
      </x:c>
      <x:c r="V21" s="164" t="str">
        <x:v>Mixed-to-positive: fragrance, value and versatility drive advocacy; scent intensity and dilution/use questions polarize.</x:v>
      </x:c>
      <x:c r="W21" s="164" t="str">
        <x:v>Directional synthesis of official messaging and current retailer/review signals; not a normalized score.</x:v>
      </x:c>
      <x:c r="X21" s="164" t="str">
        <x:v>Management-stated North America priority: support momentum behind 3-in-1 Clean Spray and Watermelon cleaners with increased brand support.</x:v>
      </x:c>
      <x:c r="Y21" s="164" t="str">
        <x:v>3-in-1 Clean Spray, Watermelon cleaners and concentrated 10x platform/test-and-learn.</x:v>
      </x:c>
      <x:c r="Z21" s="164" t="str">
        <x:v>https://investor.colgatepalmolive.com/static-files/ca92df4c-8d85-4df1-bf67-c2b76b8b36fe</x:v>
      </x:c>
      <x:c r="AA21" s="164" t="str">
        <x:v>https://www.amazon.ca/Fabuloso-All-Purpose-Cleaner-Lavender/dp/B016TQCMP4</x:v>
      </x:c>
      <x:c r="AB21" s="164" t="str">
        <x:v>https://investor.colgatepalmolive.com/static-files/c4a7e20c-1aa8-4bb1-bd4b-74755c99688f</x:v>
      </x:c>
      <x:c r="AC21" s="164" t="str">
        <x:v>https://investor.colgatepalmolive.com/static-files/ca92df4c-8d85-4df1-bf67-c2b76b8b36fe</x:v>
      </x:c>
      <x:c r="AD21" s="164" t="str">
        <x:v>2026-08-31</x:v>
      </x:c>
      <x:c r="AE21" s="167" t="str">
        <x:v>Reported: presence/share scope/sources. Modeled: sales/channel/retailer/marketing. Directional: sentiment and inferred priorities.</x:v>
      </x:c>
    </x:row>
    <x:row r="22" ht="18" customHeight="1">
      <x:c r="A22" s="163" t="str">
        <x:v>CA-FILORGA</x:v>
      </x:c>
      <x:c r="B22" s="164" t="str">
        <x:v>CA</x:v>
      </x:c>
      <x:c r="C22" s="164" t="str">
        <x:v>FILORGA</x:v>
      </x:c>
      <x:c r="D22" s="164" t="str">
        <x:v>Skin Health</x:v>
      </x:c>
      <x:c r="E22" s="164" t="str">
        <x:v>French premium anti-aging skin care translating aesthetic-medicine cues into topical routines.</x:v>
      </x:c>
      <x:c r="F22" s="164" t="str">
        <x:v>Verified current retailer evidence</x:v>
      </x:c>
      <x:c r="G22" s="164" t="str">
        <x:v>Medium-High</x:v>
      </x:c>
      <x:c r="H22" s="164" t="str">
        <x:v>OPHC</x:v>
      </x:c>
      <x:c r="I22" s="165" t="n">
        <x:f>SUMIFS(Assumptions!$D$2:$D$35,Assumptions!$A$2:$A$35,$B22,Assumptions!$B$2:$B$35,$C22)</x:f>
        <x:v>449</x:v>
      </x:c>
      <x:c r="J22" s="166" t="n">
        <x:f>SUMIFS(Assumptions!$E$2:$E$35,Assumptions!$A$2:$A$35,$B22,Assumptions!$B$2:$B$35,$C22)</x:f>
        <x:v>0.015</x:v>
      </x:c>
      <x:c r="K22" s="165" t="n">
        <x:f>I22*J22*SUMIFS(Assumptions!$F$2:$F$35,Assumptions!$A$2:$A$35,$B22,Assumptions!$B$2:$B$35,$C22)</x:f>
        <x:v>4.714499999999999</x:v>
      </x:c>
      <x:c r="L22" s="165" t="n">
        <x:f>I22*J22</x:f>
        <x:v>6.734999999999999</x:v>
      </x:c>
      <x:c r="M22" s="165" t="n">
        <x:f>I22*J22*SUMIFS(Assumptions!$G$2:$G$35,Assumptions!$A$2:$A$35,$B22,Assumptions!$B$2:$B$35,$C22)</x:f>
        <x:v>8.7555</x:v>
      </x:c>
      <x:c r="N22" s="166" t="n">
        <x:f>SUMIFS(Assumptions!$H$2:$H$35,Assumptions!$A$2:$A$35,$B22,Assumptions!$B$2:$B$35,$C22)</x:f>
        <x:v>0.4</x:v>
      </x:c>
      <x:c r="O22" s="166" t="n">
        <x:f>SUMIFS(Assumptions!$I$2:$I$35,Assumptions!$A$2:$A$35,$B22,Assumptions!$B$2:$B$35,$C22)</x:f>
        <x:v>0.6</x:v>
      </x:c>
      <x:c r="P22" s="164" t="str">
        <x:v>Professional/DTC: ~$ 3.0M; Specialist e-commerce: ~$ 2.0M; Amazon Canada: ~$ 0.7M</x:v>
      </x:c>
      <x:c r="Q22" s="165" t="n">
        <x:f>L22*SUMIFS(Assumptions!$J$2:$J$35,Assumptions!$A$2:$A$35,$B22,Assumptions!$B$2:$B$35,$C22)</x:f>
        <x:v>0.895755</x:v>
      </x:c>
      <x:c r="R22" s="164" t="str">
        <x:v>Not publicly disclosed at brand-market-category level</x:v>
      </x:c>
      <x:c r="S22" s="164" t="str">
        <x:v>Paid Nielsen/NIQ/Circana or internal data required</x:v>
      </x:c>
      <x:c r="T22" s="164" t="str">
        <x:v>French laboratory heritage; NCEF platform; silver/black premium packs; treatment-inspired names.</x:v>
      </x:c>
      <x:c r="U22" s="164" t="str">
        <x:v>Visible anti-aging correction, sensorial luxury, aesthetic expertise and multi-correction.</x:v>
      </x:c>
      <x:c r="V22" s="164" t="str">
        <x:v>Positive-to-mixed: texture and premium experience attract users; price, fragrance and results expectations vary.</x:v>
      </x:c>
      <x:c r="W22" s="164" t="str">
        <x:v>Directional synthesis of official messaging and current retailer/review signals; not a normalized score.</x:v>
      </x:c>
      <x:c r="X22" s="164" t="str">
        <x:v>Inferred: prioritize premium innovation and omni-channel demand while maintaining selective positioning.</x:v>
      </x:c>
      <x:c r="Y22" s="164" t="str">
        <x:v>Time-Filler 5XP, NCEF Revitalize/Reverse and multi-correction product systems.</x:v>
      </x:c>
      <x:c r="Z22" s="164" t="str">
        <x:v>https://ca.filorga.com/</x:v>
      </x:c>
      <x:c r="AA22" s="164" t="str">
        <x:v>https://ca.filorga.com/fr/produit/coffret-cadeau-time-filler/</x:v>
      </x:c>
      <x:c r="AB22" s="164" t="str">
        <x:v>https://investor.colgatepalmolive.com/static-files/c4a7e20c-1aa8-4bb1-bd4b-74755c99688f</x:v>
      </x:c>
      <x:c r="AC22" s="164" t="str">
        <x:v>https://investor.colgatepalmolive.com/static-files/ca92df4c-8d85-4df1-bf67-c2b76b8b36fe</x:v>
      </x:c>
      <x:c r="AD22" s="164" t="str">
        <x:v>2026-08-31</x:v>
      </x:c>
      <x:c r="AE22" s="167" t="str">
        <x:v>Reported: presence/share scope/sources. Modeled: sales/channel/retailer/marketing. Directional: sentiment and inferred priorities.</x:v>
      </x:c>
    </x:row>
    <x:row r="23" ht="18" customHeight="1">
      <x:c r="A23" s="163" t="str">
        <x:v>CA-FLEECY</x:v>
      </x:c>
      <x:c r="B23" s="164" t="str">
        <x:v>CA</x:v>
      </x:c>
      <x:c r="C23" s="164" t="str">
        <x:v>Fleecy</x:v>
      </x:c>
      <x:c r="D23" s="164" t="str">
        <x:v>Home Care</x:v>
      </x:c>
      <x:c r="E23" s="164" t="str">
        <x:v>Canadian fabric-care brand focused on softness, freshness and scent-led laundry routines.</x:v>
      </x:c>
      <x:c r="F23" s="164" t="str">
        <x:v>Verified current retailer evidence</x:v>
      </x:c>
      <x:c r="G23" s="164" t="str">
        <x:v>Medium-High</x:v>
      </x:c>
      <x:c r="H23" s="164" t="str">
        <x:v>OPHC</x:v>
      </x:c>
      <x:c r="I23" s="165" t="n">
        <x:f>SUMIFS(Assumptions!$D$2:$D$35,Assumptions!$A$2:$A$35,$B23,Assumptions!$B$2:$B$35,$C23)</x:f>
        <x:v>449</x:v>
      </x:c>
      <x:c r="J23" s="166" t="n">
        <x:f>SUMIFS(Assumptions!$E$2:$E$35,Assumptions!$A$2:$A$35,$B23,Assumptions!$B$2:$B$35,$C23)</x:f>
        <x:v>0.06</x:v>
      </x:c>
      <x:c r="K23" s="165" t="n">
        <x:f>I23*J23*SUMIFS(Assumptions!$F$2:$F$35,Assumptions!$A$2:$A$35,$B23,Assumptions!$B$2:$B$35,$C23)</x:f>
        <x:v>18.857999999999997</x:v>
      </x:c>
      <x:c r="L23" s="165" t="n">
        <x:f>I23*J23</x:f>
        <x:v>26.939999999999998</x:v>
      </x:c>
      <x:c r="M23" s="165" t="n">
        <x:f>I23*J23*SUMIFS(Assumptions!$G$2:$G$35,Assumptions!$A$2:$A$35,$B23,Assumptions!$B$2:$B$35,$C23)</x:f>
        <x:v>35.022</x:v>
      </x:c>
      <x:c r="N23" s="166" t="n">
        <x:f>SUMIFS(Assumptions!$H$2:$H$35,Assumptions!$A$2:$A$35,$B23,Assumptions!$B$2:$B$35,$C23)</x:f>
        <x:v>0.85</x:v>
      </x:c>
      <x:c r="O23" s="166" t="n">
        <x:f>SUMIFS(Assumptions!$I$2:$I$35,Assumptions!$A$2:$A$35,$B23,Assumptions!$B$2:$B$35,$C23)</x:f>
        <x:v>0.15</x:v>
      </x:c>
      <x:c r="P23" s="164" t="str">
        <x:v>Walmart Canada: ~$ 5.9M; Amazon Canada: ~$ 3.2M; Loblaw/Shoppers: ~$ 3.2M</x:v>
      </x:c>
      <x:c r="Q23" s="165" t="n">
        <x:f>L23*SUMIFS(Assumptions!$J$2:$J$35,Assumptions!$A$2:$A$35,$B23,Assumptions!$B$2:$B$35,$C23)</x:f>
        <x:v>3.58302</x:v>
      </x:c>
      <x:c r="R23" s="164" t="str">
        <x:v>Not publicly disclosed at brand-market-category level</x:v>
      </x:c>
      <x:c r="S23" s="164" t="str">
        <x:v>Paid Nielsen/NIQ/Circana or internal data required</x:v>
      </x:c>
      <x:c r="T23" s="164" t="str">
        <x:v>Softness imagery; scent architecture; liquid, sheet and rinse formats; Canadian familiarity.</x:v>
      </x:c>
      <x:c r="U23" s="164" t="str">
        <x:v>Long-lasting freshness, soft fabrics, scent choice and easy laundry routines.</x:v>
      </x:c>
      <x:c r="V23" s="164" t="str">
        <x:v>Mixed-to-positive: softness and fragrance drive loyalty; fragrance intensity is polarizing.</x:v>
      </x:c>
      <x:c r="W23" s="164" t="str">
        <x:v>Directional synthesis of official messaging and current retailer/review signals; not a normalized score.</x:v>
      </x:c>
      <x:c r="X23" s="164" t="str">
        <x:v>Inferred: maintain Canadian distribution and fragrance-led innovation within the company-wide omni-channel program.</x:v>
      </x:c>
      <x:c r="Y23" s="164" t="str">
        <x:v>Scent variants, dryer sheets and rinse/fabric-conditioning formats.</x:v>
      </x:c>
      <x:c r="Z23" s="164" t="str">
        <x:v>https://www.colgatepalmolive.ca/en-ca/brands</x:v>
      </x:c>
      <x:c r="AA23" s="164" t="str">
        <x:v>https://www.walmart.ca/en/ip/fleecy-liquid-fabric-softener-aroma-therapy-calm-fabric-conditioner/6000202027280</x:v>
      </x:c>
      <x:c r="AB23" s="164" t="str">
        <x:v>https://investor.colgatepalmolive.com/static-files/c4a7e20c-1aa8-4bb1-bd4b-74755c99688f</x:v>
      </x:c>
      <x:c r="AC23" s="164" t="str">
        <x:v>https://investor.colgatepalmolive.com/static-files/ca92df4c-8d85-4df1-bf67-c2b76b8b36fe</x:v>
      </x:c>
      <x:c r="AD23" s="164" t="str">
        <x:v>2026-08-31</x:v>
      </x:c>
      <x:c r="AE23" s="167" t="str">
        <x:v>Reported: presence/share scope/sources. Modeled: sales/channel/retailer/marketing. Directional: sentiment and inferred priorities.</x:v>
      </x:c>
    </x:row>
    <x:row r="24" ht="18" customHeight="1">
      <x:c r="A24" s="163" t="str">
        <x:v>CA-HELLO</x:v>
      </x:c>
      <x:c r="B24" s="164" t="str">
        <x:v>CA</x:v>
      </x:c>
      <x:c r="C24" s="164" t="str">
        <x:v>hello</x:v>
      </x:c>
      <x:c r="D24" s="164" t="str">
        <x:v>Oral Care</x:v>
      </x:c>
      <x:c r="E24" s="164" t="str">
        <x:v>Friendly, design-led oral care emphasizing enjoyable flavors, ingredient transparency and accessible natural-positioned choices.</x:v>
      </x:c>
      <x:c r="F24" s="164" t="str">
        <x:v>Verified current retailer evidence</x:v>
      </x:c>
      <x:c r="G24" s="164" t="str">
        <x:v>Medium-High</x:v>
      </x:c>
      <x:c r="H24" s="164" t="str">
        <x:v>OPHC</x:v>
      </x:c>
      <x:c r="I24" s="165" t="n">
        <x:f>SUMIFS(Assumptions!$D$2:$D$35,Assumptions!$A$2:$A$35,$B24,Assumptions!$B$2:$B$35,$C24)</x:f>
        <x:v>449</x:v>
      </x:c>
      <x:c r="J24" s="166" t="n">
        <x:f>SUMIFS(Assumptions!$E$2:$E$35,Assumptions!$A$2:$A$35,$B24,Assumptions!$B$2:$B$35,$C24)</x:f>
        <x:v>0.015</x:v>
      </x:c>
      <x:c r="K24" s="165" t="n">
        <x:f>I24*J24*SUMIFS(Assumptions!$F$2:$F$35,Assumptions!$A$2:$A$35,$B24,Assumptions!$B$2:$B$35,$C24)</x:f>
        <x:v>4.714499999999999</x:v>
      </x:c>
      <x:c r="L24" s="165" t="n">
        <x:f>I24*J24</x:f>
        <x:v>6.734999999999999</x:v>
      </x:c>
      <x:c r="M24" s="165" t="n">
        <x:f>I24*J24*SUMIFS(Assumptions!$G$2:$G$35,Assumptions!$A$2:$A$35,$B24,Assumptions!$B$2:$B$35,$C24)</x:f>
        <x:v>8.7555</x:v>
      </x:c>
      <x:c r="N24" s="166" t="n">
        <x:f>SUMIFS(Assumptions!$H$2:$H$35,Assumptions!$A$2:$A$35,$B24,Assumptions!$B$2:$B$35,$C24)</x:f>
        <x:v>0.82</x:v>
      </x:c>
      <x:c r="O24" s="166" t="n">
        <x:f>SUMIFS(Assumptions!$I$2:$I$35,Assumptions!$A$2:$A$35,$B24,Assumptions!$B$2:$B$35,$C24)</x:f>
        <x:v>0.18</x:v>
      </x:c>
      <x:c r="P24" s="164" t="str">
        <x:v>Walmart Canada: ~$ 1.5M; Amazon Canada: ~$ 0.8M; Loblaw/Shoppers: ~$ 0.8M</x:v>
      </x:c>
      <x:c r="Q24" s="165" t="n">
        <x:f>L24*SUMIFS(Assumptions!$J$2:$J$35,Assumptions!$A$2:$A$35,$B24,Assumptions!$B$2:$B$35,$C24)</x:f>
        <x:v>0.895755</x:v>
      </x:c>
      <x:c r="R24" s="164" t="str">
        <x:v>Not publicly disclosed at brand-market-category level</x:v>
      </x:c>
      <x:c r="S24" s="164" t="str">
        <x:v>Paid Nielsen/NIQ/Circana or internal data required</x:v>
      </x:c>
      <x:c r="T24" s="164" t="str">
        <x:v>Lowercase hello name; colorful playful packs; flavor/texture novelty; ingredient and sustainability cues.</x:v>
      </x:c>
      <x:c r="U24" s="164" t="str">
        <x:v>Make brushing fun, approachable ingredients, kids/family routines, foam and flavor experimentation.</x:v>
      </x:c>
      <x:c r="V24" s="164" t="str">
        <x:v>Positive among design- and ingredient-conscious shoppers; flavor, foam and fluoride preferences are polarizing.</x:v>
      </x:c>
      <x:c r="W24" s="164" t="str">
        <x:v>Directional synthesis of official messaging and current retailer/review signals; not a normalized score.</x:v>
      </x:c>
      <x:c r="X24" s="164" t="str">
        <x:v>Inferred from corporate strategy: use premium innovation and omni-channel demand generation to scale differentiated oral-care formats.</x:v>
      </x:c>
      <x:c r="Y24" s="164" t="str">
        <x:v>Whipped foaming toothpaste, kids flavors, tablets and alternative-format oral care.</x:v>
      </x:c>
      <x:c r="Z24" s="164" t="str">
        <x:v>https://www.hello-products.com/</x:v>
      </x:c>
      <x:c r="AA24" s="164" t="str">
        <x:v>https://www.walmart.ca/en/ip/hello-Dragon-Dazzle-Kids-Toothpaste-with-Fluoride-Blue-Raspberry-119-g/6000208907207</x:v>
      </x:c>
      <x:c r="AB24" s="164" t="str">
        <x:v>https://investor.colgatepalmolive.com/static-files/c4a7e20c-1aa8-4bb1-bd4b-74755c99688f</x:v>
      </x:c>
      <x:c r="AC24" s="164" t="str">
        <x:v>https://investor.colgatepalmolive.com/static-files/ca92df4c-8d85-4df1-bf67-c2b76b8b36fe</x:v>
      </x:c>
      <x:c r="AD24" s="164" t="str">
        <x:v>2026-08-31</x:v>
      </x:c>
      <x:c r="AE24" s="167" t="str">
        <x:v>Reported: presence/share scope/sources. Modeled: sales/channel/retailer/marketing. Directional: sentiment and inferred priorities.</x:v>
      </x:c>
    </x:row>
    <x:row r="25" ht="18" customHeight="1">
      <x:c r="A25" s="163" t="str">
        <x:v>CA-HILL-S-PRESCRIPTION-DIET</x:v>
      </x:c>
      <x:c r="B25" s="164" t="str">
        <x:v>CA</x:v>
      </x:c>
      <x:c r="C25" s="164" t="str">
        <x:v>Hill's Prescription Diet</x:v>
      </x:c>
      <x:c r="D25" s="164" t="str">
        <x:v>Pet Nutrition</x:v>
      </x:c>
      <x:c r="E25" s="164" t="str">
        <x:v>Veterinary therapeutic nutrition designed to support diagnosed health conditions in dogs and cats.</x:v>
      </x:c>
      <x:c r="F25" s="164" t="str">
        <x:v>Verified first-party/local catalog evidence</x:v>
      </x:c>
      <x:c r="G25" s="164" t="str">
        <x:v>High</x:v>
      </x:c>
      <x:c r="H25" s="164" t="str">
        <x:v>Pet Nutrition</x:v>
      </x:c>
      <x:c r="I25" s="165" t="n">
        <x:f>SUMIFS(Assumptions!$D$2:$D$35,Assumptions!$A$2:$A$35,$B25,Assumptions!$B$2:$B$35,$C25)</x:f>
        <x:v>280</x:v>
      </x:c>
      <x:c r="J25" s="166" t="n">
        <x:f>SUMIFS(Assumptions!$E$2:$E$35,Assumptions!$A$2:$A$35,$B25,Assumptions!$B$2:$B$35,$C25)</x:f>
        <x:v>0.35</x:v>
      </x:c>
      <x:c r="K25" s="165" t="n">
        <x:f>I25*J25*SUMIFS(Assumptions!$F$2:$F$35,Assumptions!$A$2:$A$35,$B25,Assumptions!$B$2:$B$35,$C25)</x:f>
        <x:v>68.6</x:v>
      </x:c>
      <x:c r="L25" s="165" t="n">
        <x:f>I25*J25</x:f>
        <x:v>98</x:v>
      </x:c>
      <x:c r="M25" s="165" t="n">
        <x:f>I25*J25*SUMIFS(Assumptions!$G$2:$G$35,Assumptions!$A$2:$A$35,$B25,Assumptions!$B$2:$B$35,$C25)</x:f>
        <x:v>127.4</x:v>
      </x:c>
      <x:c r="N25" s="166" t="n">
        <x:f>SUMIFS(Assumptions!$H$2:$H$35,Assumptions!$A$2:$A$35,$B25,Assumptions!$B$2:$B$35,$C25)</x:f>
        <x:v>0.5</x:v>
      </x:c>
      <x:c r="O25" s="166" t="n">
        <x:f>SUMIFS(Assumptions!$I$2:$I$35,Assumptions!$A$2:$A$35,$B25,Assumptions!$B$2:$B$35,$C25)</x:f>
        <x:v>0.5</x:v>
      </x:c>
      <x:c r="P25" s="164" t="str">
        <x:v>PetSmart Canada: ~$ 24.5M; Pet Valu: ~$ 19.6M; Veterinary clinics: ~$ 19.6M</x:v>
      </x:c>
      <x:c r="Q25" s="165" t="n">
        <x:f>L25*SUMIFS(Assumptions!$J$2:$J$35,Assumptions!$A$2:$A$35,$B25,Assumptions!$B$2:$B$35,$C25)</x:f>
        <x:v>13.034</x:v>
      </x:c>
      <x:c r="R25" s="164" t="str">
        <x:v>Not publicly disclosed at brand-market-category level</x:v>
      </x:c>
      <x:c r="S25" s="164" t="str">
        <x:v>Paid Nielsen/NIQ/Circana or internal data required</x:v>
      </x:c>
      <x:c r="T25" s="164" t="str">
        <x:v>Vet authorization; condition-first navigation; clinical research; therapeutic sub-lines and strong e-commerce replenishment.</x:v>
      </x:c>
      <x:c r="U25" s="164" t="str">
        <x:v>Clinically supported nutrition, vet partnership, condition management and quality of life.</x:v>
      </x:c>
      <x:c r="V25" s="164" t="str">
        <x:v>Positive-to-mixed: health outcomes and vet confidence are strengths; prescription access, price and palatability are common frictions.</x:v>
      </x:c>
      <x:c r="W25" s="164" t="str">
        <x:v>Directional synthesis of official messaging and current retailer/review signals; not a normalized score.</x:v>
      </x:c>
      <x:c r="X25" s="164" t="str">
        <x:v>Management-stated: build on therapeutic-category share gains with e-commerce and omni-channel activations.</x:v>
      </x:c>
      <x:c r="Y25" s="164" t="str">
        <x:v>ONC Care cancer-support nutrition and continued condition-specific therapeutic formulas.</x:v>
      </x:c>
      <x:c r="Z25" s="164" t="str">
        <x:v>https://investor.colgatepalmolive.com/static-files/ca92df4c-8d85-4df1-bf67-c2b76b8b36fe</x:v>
      </x:c>
      <x:c r="AA25" s="164" t="str">
        <x:v>https://www.hillspet.ca/en-ca/cat-food/prescription-diet-ad-urgent-care-canned</x:v>
      </x:c>
      <x:c r="AB25" s="164" t="str">
        <x:v>https://investor.colgatepalmolive.com/static-files/c4a7e20c-1aa8-4bb1-bd4b-74755c99688f</x:v>
      </x:c>
      <x:c r="AC25" s="164" t="str">
        <x:v>https://investor.colgatepalmolive.com/static-files/ca92df4c-8d85-4df1-bf67-c2b76b8b36fe</x:v>
      </x:c>
      <x:c r="AD25" s="164" t="str">
        <x:v>2026-08-31</x:v>
      </x:c>
      <x:c r="AE25" s="167" t="str">
        <x:v>Reported: presence/share scope/sources. Modeled: sales/channel/retailer/marketing. Directional: sentiment and inferred priorities.</x:v>
      </x:c>
    </x:row>
    <x:row r="26" ht="18" customHeight="1">
      <x:c r="A26" s="163" t="str">
        <x:v>CA-HILL-S-SCIENCE-DIET</x:v>
      </x:c>
      <x:c r="B26" s="164" t="str">
        <x:v>CA</x:v>
      </x:c>
      <x:c r="C26" s="164" t="str">
        <x:v>Hill's Science Diet</x:v>
      </x:c>
      <x:c r="D26" s="164" t="str">
        <x:v>Pet Nutrition</x:v>
      </x:c>
      <x:c r="E26" s="164" t="str">
        <x:v>Science-led everyday pet nutrition formulated by veterinarians and nutritionists for life-stage and wellness needs.</x:v>
      </x:c>
      <x:c r="F26" s="164" t="str">
        <x:v>Verified first-party catalog + current retailer evidence</x:v>
      </x:c>
      <x:c r="G26" s="164" t="str">
        <x:v>High</x:v>
      </x:c>
      <x:c r="H26" s="164" t="str">
        <x:v>Pet Nutrition</x:v>
      </x:c>
      <x:c r="I26" s="165" t="n">
        <x:f>SUMIFS(Assumptions!$D$2:$D$35,Assumptions!$A$2:$A$35,$B26,Assumptions!$B$2:$B$35,$C26)</x:f>
        <x:v>280</x:v>
      </x:c>
      <x:c r="J26" s="166" t="n">
        <x:f>SUMIFS(Assumptions!$E$2:$E$35,Assumptions!$A$2:$A$35,$B26,Assumptions!$B$2:$B$35,$C26)</x:f>
        <x:v>0.65</x:v>
      </x:c>
      <x:c r="K26" s="165" t="n">
        <x:f>I26*J26*SUMIFS(Assumptions!$F$2:$F$35,Assumptions!$A$2:$A$35,$B26,Assumptions!$B$2:$B$35,$C26)</x:f>
        <x:v>127.39999999999999</x:v>
      </x:c>
      <x:c r="L26" s="165" t="n">
        <x:f>I26*J26</x:f>
        <x:v>182</x:v>
      </x:c>
      <x:c r="M26" s="165" t="n">
        <x:f>I26*J26*SUMIFS(Assumptions!$G$2:$G$35,Assumptions!$A$2:$A$35,$B26,Assumptions!$B$2:$B$35,$C26)</x:f>
        <x:v>236.6</x:v>
      </x:c>
      <x:c r="N26" s="166" t="n">
        <x:f>SUMIFS(Assumptions!$H$2:$H$35,Assumptions!$A$2:$A$35,$B26,Assumptions!$B$2:$B$35,$C26)</x:f>
        <x:v>0.5</x:v>
      </x:c>
      <x:c r="O26" s="166" t="n">
        <x:f>SUMIFS(Assumptions!$I$2:$I$35,Assumptions!$A$2:$A$35,$B26,Assumptions!$B$2:$B$35,$C26)</x:f>
        <x:v>0.5</x:v>
      </x:c>
      <x:c r="P26" s="164" t="str">
        <x:v>PetSmart Canada: ~$ 45.5M; Pet Valu: ~$ 36.4M; Veterinary clinics: ~$ 36.4M</x:v>
      </x:c>
      <x:c r="Q26" s="165" t="n">
        <x:f>L26*SUMIFS(Assumptions!$J$2:$J$35,Assumptions!$A$2:$A$35,$B26,Assumptions!$B$2:$B$35,$C26)</x:f>
        <x:v>24.206000000000003</x:v>
      </x:c>
      <x:c r="R26" s="164" t="str">
        <x:v>Not publicly disclosed at brand-market-category level</x:v>
      </x:c>
      <x:c r="S26" s="164" t="str">
        <x:v>Paid Nielsen/NIQ/Circana or internal data required</x:v>
      </x:c>
      <x:c r="T26" s="164" t="str">
        <x:v>Veterinary/science credibility; breed, age and condition navigation; feeding guidance; premium specialist distribution.</x:v>
      </x:c>
      <x:c r="U26" s="164" t="str">
        <x:v>Biology-based nutrition, measurable pet health, life-stage personalization and vet trust.</x:v>
      </x:c>
      <x:c r="V26" s="164" t="str">
        <x:v>Positive-to-mixed: strong vet trust and perceived outcomes; premium price, palatability and ingredient preferences drive criticism.</x:v>
      </x:c>
      <x:c r="W26" s="164" t="str">
        <x:v>Directional synthesis of official messaging and current retailer/review signals; not a normalized score.</x:v>
      </x:c>
      <x:c r="X26" s="164" t="str">
        <x:v>Management-stated: phased rollout of Science Diet Single Protein dog food in the fresh segment, supported by omni-channel demand generation.</x:v>
      </x:c>
      <x:c r="Y26" s="164" t="str">
        <x:v>Science Diet Single Protein fresh dog food; precision nutrition by life stage and health need.</x:v>
      </x:c>
      <x:c r="Z26" s="164" t="str">
        <x:v>https://investor.colgatepalmolive.com/static-files/ca92df4c-8d85-4df1-bf67-c2b76b8b36fe</x:v>
      </x:c>
      <x:c r="AA26" s="164" t="str">
        <x:v>https://www.hillspet.ca/en-ca/dog-food/science-diet-adult-perfect-digestion-chicken-rice-oats-dry | https://www.petsmart.ca/cat/food-and-treats/dry-food/hills-science-diet-adult-perfect-digestion-dry-cat-food-97493.html</x:v>
      </x:c>
      <x:c r="AB26" s="164" t="str">
        <x:v>https://investor.colgatepalmolive.com/static-files/c4a7e20c-1aa8-4bb1-bd4b-74755c99688f</x:v>
      </x:c>
      <x:c r="AC26" s="164" t="str">
        <x:v>https://investor.colgatepalmolive.com/static-files/ca92df4c-8d85-4df1-bf67-c2b76b8b36fe</x:v>
      </x:c>
      <x:c r="AD26" s="164" t="str">
        <x:v>2026-08-31</x:v>
      </x:c>
      <x:c r="AE26" s="167" t="str">
        <x:v>Reported: presence/share scope/sources. Modeled: sales/channel/retailer/marketing. Directional: sentiment and inferred priorities.</x:v>
      </x:c>
    </x:row>
    <x:row r="27" ht="18" customHeight="1">
      <x:c r="A27" s="163" t="str">
        <x:v>CA-IRISH-SPRING</x:v>
      </x:c>
      <x:c r="B27" s="164" t="str">
        <x:v>CA</x:v>
      </x:c>
      <x:c r="C27" s="164" t="str">
        <x:v>Irish Spring</x:v>
      </x:c>
      <x:c r="D27" s="164" t="str">
        <x:v>Personal Care</x:v>
      </x:c>
      <x:c r="E27" s="164" t="str">
        <x:v>High-recognition men’s cleansing centered on strong freshness, deodorizing and value.</x:v>
      </x:c>
      <x:c r="F27" s="164" t="str">
        <x:v>Verified current retailer evidence</x:v>
      </x:c>
      <x:c r="G27" s="164" t="str">
        <x:v>Medium-High</x:v>
      </x:c>
      <x:c r="H27" s="164" t="str">
        <x:v>OPHC</x:v>
      </x:c>
      <x:c r="I27" s="165" t="n">
        <x:f>SUMIFS(Assumptions!$D$2:$D$35,Assumptions!$A$2:$A$35,$B27,Assumptions!$B$2:$B$35,$C27)</x:f>
        <x:v>449</x:v>
      </x:c>
      <x:c r="J27" s="166" t="n">
        <x:f>SUMIFS(Assumptions!$E$2:$E$35,Assumptions!$A$2:$A$35,$B27,Assumptions!$B$2:$B$35,$C27)</x:f>
        <x:v>0.05</x:v>
      </x:c>
      <x:c r="K27" s="165" t="n">
        <x:f>I27*J27*SUMIFS(Assumptions!$F$2:$F$35,Assumptions!$A$2:$A$35,$B27,Assumptions!$B$2:$B$35,$C27)</x:f>
        <x:v>15.715000000000002</x:v>
      </x:c>
      <x:c r="L27" s="165" t="n">
        <x:f>I27*J27</x:f>
        <x:v>22.450000000000003</x:v>
      </x:c>
      <x:c r="M27" s="165" t="n">
        <x:f>I27*J27*SUMIFS(Assumptions!$G$2:$G$35,Assumptions!$A$2:$A$35,$B27,Assumptions!$B$2:$B$35,$C27)</x:f>
        <x:v>29.185000000000006</x:v>
      </x:c>
      <x:c r="N27" s="166" t="n">
        <x:f>SUMIFS(Assumptions!$H$2:$H$35,Assumptions!$A$2:$A$35,$B27,Assumptions!$B$2:$B$35,$C27)</x:f>
        <x:v>0.87</x:v>
      </x:c>
      <x:c r="O27" s="166" t="n">
        <x:f>SUMIFS(Assumptions!$I$2:$I$35,Assumptions!$A$2:$A$35,$B27,Assumptions!$B$2:$B$35,$C27)</x:f>
        <x:v>0.13</x:v>
      </x:c>
      <x:c r="P27" s="164" t="str">
        <x:v>Walmart Canada: ~$ 4.9M; Amazon Canada: ~$ 2.7M; Loblaw/Shoppers: ~$ 2.7M</x:v>
      </x:c>
      <x:c r="Q27" s="165" t="n">
        <x:f>L27*SUMIFS(Assumptions!$J$2:$J$35,Assumptions!$A$2:$A$35,$B27,Assumptions!$B$2:$B$35,$C27)</x:f>
        <x:v>2.9858500000000006</x:v>
      </x:c>
      <x:c r="R27" s="164" t="str">
        <x:v>Not publicly disclosed at brand-market-category level</x:v>
      </x:c>
      <x:c r="S27" s="164" t="str">
        <x:v>Paid Nielsen/NIQ/Circana or internal data required</x:v>
      </x:c>
      <x:c r="T27" s="164" t="str">
        <x:v>Green color, outdoors/freshness world, distinctive scent, bar and body-wash formats.</x:v>
      </x:c>
      <x:c r="U27" s="164" t="str">
        <x:v>Long-lasting freshness, active masculinity, odor control and high-energy humor.</x:v>
      </x:c>
      <x:c r="V27" s="164" t="str">
        <x:v>Mixed-to-positive: strong clean/fresh signal and value; scent strength and dryness are polarizing.</x:v>
      </x:c>
      <x:c r="W27" s="164" t="str">
        <x:v>Directional synthesis of official messaging and current retailer/review signals; not a normalized score.</x:v>
      </x:c>
      <x:c r="X27" s="164" t="str">
        <x:v>Inferred: defend freshness equity with strong retail execution and scent/format innovation.</x:v>
      </x:c>
      <x:c r="Y27" s="164" t="str">
        <x:v>Moisture and exfoliating variants, body wash and multi-bar value packs.</x:v>
      </x:c>
      <x:c r="Z27" s="164" t="str">
        <x:v>https://www.irishspring.com/</x:v>
      </x:c>
      <x:c r="AA27" s="164" t="str">
        <x:v>https://www.walmart.ca/en/c/brand/irish-spring</x:v>
      </x:c>
      <x:c r="AB27" s="164" t="str">
        <x:v>https://investor.colgatepalmolive.com/static-files/c4a7e20c-1aa8-4bb1-bd4b-74755c99688f</x:v>
      </x:c>
      <x:c r="AC27" s="164" t="str">
        <x:v>https://investor.colgatepalmolive.com/static-files/ca92df4c-8d85-4df1-bf67-c2b76b8b36fe</x:v>
      </x:c>
      <x:c r="AD27" s="164" t="str">
        <x:v>2026-08-31</x:v>
      </x:c>
      <x:c r="AE27" s="167" t="str">
        <x:v>Reported: presence/share scope/sources. Modeled: sales/channel/retailer/marketing. Directional: sentiment and inferred priorities.</x:v>
      </x:c>
    </x:row>
    <x:row r="28" ht="18" customHeight="1">
      <x:c r="A28" s="163" t="str">
        <x:v>CA-LADY-SPEED-STICK</x:v>
      </x:c>
      <x:c r="B28" s="164" t="str">
        <x:v>CA</x:v>
      </x:c>
      <x:c r="C28" s="164" t="str">
        <x:v>Lady Speed Stick</x:v>
      </x:c>
      <x:c r="D28" s="164" t="str">
        <x:v>Personal Care</x:v>
      </x:c>
      <x:c r="E28" s="164" t="str">
        <x:v>Accessible women’s antiperspirant/deodorant built on reliable protection and scent choice.</x:v>
      </x:c>
      <x:c r="F28" s="164" t="str">
        <x:v>Verified first-party catalog + current retailer evidence</x:v>
      </x:c>
      <x:c r="G28" s="164" t="str">
        <x:v>High</x:v>
      </x:c>
      <x:c r="H28" s="164" t="str">
        <x:v>OPHC</x:v>
      </x:c>
      <x:c r="I28" s="165" t="n">
        <x:f>SUMIFS(Assumptions!$D$2:$D$35,Assumptions!$A$2:$A$35,$B28,Assumptions!$B$2:$B$35,$C28)</x:f>
        <x:v>449</x:v>
      </x:c>
      <x:c r="J28" s="166" t="n">
        <x:f>SUMIFS(Assumptions!$E$2:$E$35,Assumptions!$A$2:$A$35,$B28,Assumptions!$B$2:$B$35,$C28)</x:f>
        <x:v>0.008</x:v>
      </x:c>
      <x:c r="K28" s="165" t="n">
        <x:f>I28*J28*SUMIFS(Assumptions!$F$2:$F$35,Assumptions!$A$2:$A$35,$B28,Assumptions!$B$2:$B$35,$C28)</x:f>
        <x:v>2.5143999999999997</x:v>
      </x:c>
      <x:c r="L28" s="165" t="n">
        <x:f>I28*J28</x:f>
        <x:v>3.592</x:v>
      </x:c>
      <x:c r="M28" s="165" t="n">
        <x:f>I28*J28*SUMIFS(Assumptions!$G$2:$G$35,Assumptions!$A$2:$A$35,$B28,Assumptions!$B$2:$B$35,$C28)</x:f>
        <x:v>4.6696</x:v>
      </x:c>
      <x:c r="N28" s="166" t="n">
        <x:f>SUMIFS(Assumptions!$H$2:$H$35,Assumptions!$A$2:$A$35,$B28,Assumptions!$B$2:$B$35,$C28)</x:f>
        <x:v>0.87</x:v>
      </x:c>
      <x:c r="O28" s="166" t="n">
        <x:f>SUMIFS(Assumptions!$I$2:$I$35,Assumptions!$A$2:$A$35,$B28,Assumptions!$B$2:$B$35,$C28)</x:f>
        <x:v>0.13</x:v>
      </x:c>
      <x:c r="P28" s="164" t="str">
        <x:v>Walmart Canada: ~$ 0.8M; Amazon Canada: ~$ 0.4M; Loblaw/Shoppers: ~$ 0.4M</x:v>
      </x:c>
      <x:c r="Q28" s="165" t="n">
        <x:f>L28*SUMIFS(Assumptions!$J$2:$J$35,Assumptions!$A$2:$A$35,$B28,Assumptions!$B$2:$B$35,$C28)</x:f>
        <x:v>0.47773600000000005</x:v>
      </x:c>
      <x:c r="R28" s="164" t="str">
        <x:v>Not publicly disclosed at brand-market-category level</x:v>
      </x:c>
      <x:c r="S28" s="164" t="str">
        <x:v>Paid Nielsen/NIQ/Circana or internal data required</x:v>
      </x:c>
      <x:c r="T28" s="164" t="str">
        <x:v>Benefit-first pack hierarchy; bright feminine colors; invisible/clinical and scent variants.</x:v>
      </x:c>
      <x:c r="U28" s="164" t="str">
        <x:v>Confidence, invisible protection, freshness and everyday value.</x:v>
      </x:c>
      <x:c r="V28" s="164" t="str">
        <x:v>Mixed-to-positive: protection and price resonate; scent and white-mark experiences vary.</x:v>
      </x:c>
      <x:c r="W28" s="164" t="str">
        <x:v>Directional synthesis of official messaging and current retailer/review signals; not a normalized score.</x:v>
      </x:c>
      <x:c r="X28" s="164" t="str">
        <x:v>Inferred: strengthen distribution and relevance through benefit clarity and omni-channel support.</x:v>
      </x:c>
      <x:c r="Y28" s="164" t="str">
        <x:v>Invisible protection, clinical-strength and gel/solid variants.</x:v>
      </x:c>
      <x:c r="Z28" s="164" t="str">
        <x:v>https://www.ladyspeedstick.com/</x:v>
      </x:c>
      <x:c r="AA28" s="164" t="str">
        <x:v>https://www.colgatepalmolive.ca/en-ca/local-brands/lady-speed-stick/products/fresh-infusions-fruity-melon | https://www.walmart.ca/en/ip/lady-speed-stick-invisible-antiperspirantdeodorant-purple/10031884</x:v>
      </x:c>
      <x:c r="AB28" s="164" t="str">
        <x:v>https://investor.colgatepalmolive.com/static-files/c4a7e20c-1aa8-4bb1-bd4b-74755c99688f</x:v>
      </x:c>
      <x:c r="AC28" s="164" t="str">
        <x:v>https://investor.colgatepalmolive.com/static-files/ca92df4c-8d85-4df1-bf67-c2b76b8b36fe</x:v>
      </x:c>
      <x:c r="AD28" s="164" t="str">
        <x:v>2026-08-31</x:v>
      </x:c>
      <x:c r="AE28" s="167" t="str">
        <x:v>Reported: presence/share scope/sources. Modeled: sales/channel/retailer/marketing. Directional: sentiment and inferred priorities.</x:v>
      </x:c>
    </x:row>
    <x:row r="29" ht="18" customHeight="1">
      <x:c r="A29" s="163" t="str">
        <x:v>CA-MURPHY-OIL-SOAP</x:v>
      </x:c>
      <x:c r="B29" s="164" t="str">
        <x:v>CA</x:v>
      </x:c>
      <x:c r="C29" s="164" t="str">
        <x:v>Murphy Oil Soap</x:v>
      </x:c>
      <x:c r="D29" s="164" t="str">
        <x:v>Home Care</x:v>
      </x:c>
      <x:c r="E29" s="164" t="str">
        <x:v>Heritage wood and multi-surface cleaner associated with gentle care and a recognizable oil-soap experience.</x:v>
      </x:c>
      <x:c r="F29" s="164" t="str">
        <x:v>Verified current retailer evidence</x:v>
      </x:c>
      <x:c r="G29" s="164" t="str">
        <x:v>Medium-High</x:v>
      </x:c>
      <x:c r="H29" s="164" t="str">
        <x:v>OPHC</x:v>
      </x:c>
      <x:c r="I29" s="165" t="n">
        <x:f>SUMIFS(Assumptions!$D$2:$D$35,Assumptions!$A$2:$A$35,$B29,Assumptions!$B$2:$B$35,$C29)</x:f>
        <x:v>449</x:v>
      </x:c>
      <x:c r="J29" s="166" t="n">
        <x:f>SUMIFS(Assumptions!$E$2:$E$35,Assumptions!$A$2:$A$35,$B29,Assumptions!$B$2:$B$35,$C29)</x:f>
        <x:v>0.005</x:v>
      </x:c>
      <x:c r="K29" s="165" t="n">
        <x:f>I29*J29*SUMIFS(Assumptions!$F$2:$F$35,Assumptions!$A$2:$A$35,$B29,Assumptions!$B$2:$B$35,$C29)</x:f>
        <x:v>1.5715</x:v>
      </x:c>
      <x:c r="L29" s="165" t="n">
        <x:f>I29*J29</x:f>
        <x:v>2.245</x:v>
      </x:c>
      <x:c r="M29" s="165" t="n">
        <x:f>I29*J29*SUMIFS(Assumptions!$G$2:$G$35,Assumptions!$A$2:$A$35,$B29,Assumptions!$B$2:$B$35,$C29)</x:f>
        <x:v>2.9185000000000003</x:v>
      </x:c>
      <x:c r="N29" s="166" t="n">
        <x:f>SUMIFS(Assumptions!$H$2:$H$35,Assumptions!$A$2:$A$35,$B29,Assumptions!$B$2:$B$35,$C29)</x:f>
        <x:v>0.85</x:v>
      </x:c>
      <x:c r="O29" s="166" t="n">
        <x:f>SUMIFS(Assumptions!$I$2:$I$35,Assumptions!$A$2:$A$35,$B29,Assumptions!$B$2:$B$35,$C29)</x:f>
        <x:v>0.15</x:v>
      </x:c>
      <x:c r="P29" s="164" t="str">
        <x:v>Walmart Canada: ~$ 0.5M; Amazon Canada: ~$ 0.3M; Loblaw/Shoppers: ~$ 0.3M</x:v>
      </x:c>
      <x:c r="Q29" s="165" t="n">
        <x:f>L29*SUMIFS(Assumptions!$J$2:$J$35,Assumptions!$A$2:$A$35,$B29,Assumptions!$B$2:$B$35,$C29)</x:f>
        <x:v>0.29858500000000004</x:v>
      </x:c>
      <x:c r="R29" s="164" t="str">
        <x:v>Not publicly disclosed at brand-market-category level</x:v>
      </x:c>
      <x:c r="S29" s="164" t="str">
        <x:v>Paid Nielsen/NIQ/Circana or internal data required</x:v>
      </x:c>
      <x:c r="T29" s="164" t="str">
        <x:v>Heritage branding; wood-care expertise; concentrated liquid; recognizable scent.</x:v>
      </x:c>
      <x:c r="U29" s="164" t="str">
        <x:v>Care for wood, trusted routines, gentle cleaning and home preservation.</x:v>
      </x:c>
      <x:c r="V29" s="164" t="str">
        <x:v>Mixed-to-positive: loyal users cite wood-care trust and scent; residue/dilution experiences vary.</x:v>
      </x:c>
      <x:c r="W29" s="164" t="str">
        <x:v>Directional synthesis of official messaging and current retailer/review signals; not a normalized score.</x:v>
      </x:c>
      <x:c r="X29" s="164" t="str">
        <x:v>Inferred: protect heritage equity while improving digital education on dilution, surfaces and usage.</x:v>
      </x:c>
      <x:c r="Y29" s="164" t="str">
        <x:v>Concentrated and ready-to-use wood/multi-surface formats.</x:v>
      </x:c>
      <x:c r="Z29" s="164" t="str">
        <x:v>https://www.murphyoilsoap.com/</x:v>
      </x:c>
      <x:c r="AA29" s="164" t="str">
        <x:v>https://www.walmart.ca/en/ip/Murphy-Oil-Soap-Cleaning-Spray-Wood-Cleaner-No-Rinse-Floor-Cleaner-Orange-Scent-650-mL-Bottle/6000198075545</x:v>
      </x:c>
      <x:c r="AB29" s="164" t="str">
        <x:v>https://investor.colgatepalmolive.com/static-files/c4a7e20c-1aa8-4bb1-bd4b-74755c99688f</x:v>
      </x:c>
      <x:c r="AC29" s="164" t="str">
        <x:v>https://investor.colgatepalmolive.com/static-files/ca92df4c-8d85-4df1-bf67-c2b76b8b36fe</x:v>
      </x:c>
      <x:c r="AD29" s="164" t="str">
        <x:v>2026-08-31</x:v>
      </x:c>
      <x:c r="AE29" s="167" t="str">
        <x:v>Reported: presence/share scope/sources. Modeled: sales/channel/retailer/marketing. Directional: sentiment and inferred priorities.</x:v>
      </x:c>
    </x:row>
    <x:row r="30" ht="18" customHeight="1">
      <x:c r="A30" s="163" t="str">
        <x:v>CA-PALMOLIVE</x:v>
      </x:c>
      <x:c r="B30" s="164" t="str">
        <x:v>CA</x:v>
      </x:c>
      <x:c r="C30" s="164" t="str">
        <x:v>Palmolive</x:v>
      </x:c>
      <x:c r="D30" s="164" t="str">
        <x:v>Home Care</x:v>
      </x:c>
      <x:c r="E30" s="164" t="str">
        <x:v>Mainstream dish care balancing grease-cutting performance, hand feel, scent and value.</x:v>
      </x:c>
      <x:c r="F30" s="164" t="str">
        <x:v>Verified first-party catalog + current retailer evidence</x:v>
      </x:c>
      <x:c r="G30" s="164" t="str">
        <x:v>High</x:v>
      </x:c>
      <x:c r="H30" s="164" t="str">
        <x:v>OPHC</x:v>
      </x:c>
      <x:c r="I30" s="165" t="n">
        <x:f>SUMIFS(Assumptions!$D$2:$D$35,Assumptions!$A$2:$A$35,$B30,Assumptions!$B$2:$B$35,$C30)</x:f>
        <x:v>449</x:v>
      </x:c>
      <x:c r="J30" s="166" t="n">
        <x:f>SUMIFS(Assumptions!$E$2:$E$35,Assumptions!$A$2:$A$35,$B30,Assumptions!$B$2:$B$35,$C30)</x:f>
        <x:v>0.09</x:v>
      </x:c>
      <x:c r="K30" s="165" t="n">
        <x:f>I30*J30*SUMIFS(Assumptions!$F$2:$F$35,Assumptions!$A$2:$A$35,$B30,Assumptions!$B$2:$B$35,$C30)</x:f>
        <x:v>28.286999999999995</x:v>
      </x:c>
      <x:c r="L30" s="165" t="n">
        <x:f>I30*J30</x:f>
        <x:v>40.41</x:v>
      </x:c>
      <x:c r="M30" s="165" t="n">
        <x:f>I30*J30*SUMIFS(Assumptions!$G$2:$G$35,Assumptions!$A$2:$A$35,$B30,Assumptions!$B$2:$B$35,$C30)</x:f>
        <x:v>52.532999999999994</x:v>
      </x:c>
      <x:c r="N30" s="166" t="n">
        <x:f>SUMIFS(Assumptions!$H$2:$H$35,Assumptions!$A$2:$A$35,$B30,Assumptions!$B$2:$B$35,$C30)</x:f>
        <x:v>0.85</x:v>
      </x:c>
      <x:c r="O30" s="166" t="n">
        <x:f>SUMIFS(Assumptions!$I$2:$I$35,Assumptions!$A$2:$A$35,$B30,Assumptions!$B$2:$B$35,$C30)</x:f>
        <x:v>0.15</x:v>
      </x:c>
      <x:c r="P30" s="164" t="str">
        <x:v>Walmart Canada: ~$ 8.9M; Amazon Canada: ~$ 4.8M; Loblaw/Shoppers: ~$ 4.8M</x:v>
      </x:c>
      <x:c r="Q30" s="165" t="n">
        <x:f>L30*SUMIFS(Assumptions!$J$2:$J$35,Assumptions!$A$2:$A$35,$B30,Assumptions!$B$2:$B$35,$C30)</x:f>
        <x:v>5.37453</x:v>
      </x:c>
      <x:c r="R30" s="164" t="str">
        <x:v>Not publicly disclosed at brand-market-category level</x:v>
      </x:c>
      <x:c r="S30" s="164" t="str">
        <x:v>Paid Nielsen/NIQ/Circana or internal data required</x:v>
      </x:c>
      <x:c r="T30" s="164" t="str">
        <x:v>Green masterbrand; strength/gentleness duality; scent and concentrated-formula variants.</x:v>
      </x:c>
      <x:c r="U30" s="164" t="str">
        <x:v>Tough on grease, gentle experience, value and sustainable packaging/formulas.</x:v>
      </x:c>
      <x:c r="V30" s="164" t="str">
        <x:v>Mixed-to-positive: value and cleaning performance are strengths; scent and skin feel vary by user.</x:v>
      </x:c>
      <x:c r="W30" s="164" t="str">
        <x:v>Directional synthesis of official messaging and current retailer/review signals; not a normalized score.</x:v>
      </x:c>
      <x:c r="X30" s="164" t="str">
        <x:v>Inferred: support core dish-care superiority through improved execution, visible claims and omni-channel availability.</x:v>
      </x:c>
      <x:c r="Y30" s="164" t="str">
        <x:v>Concentrated dish liquids, antibacterial and eco-positioned formula/packaging variants.</x:v>
      </x:c>
      <x:c r="Z30" s="164" t="str">
        <x:v>https://www.palmolive.com/en-us/products</x:v>
      </x:c>
      <x:c r="AA30" s="164" t="str">
        <x:v>https://www.colgatepalmolive.ca/en-ca/brands/soft-soap | https://well.ca/fr/produits/palmolive-essential-clean-liquid_320085.html</x:v>
      </x:c>
      <x:c r="AB30" s="164" t="str">
        <x:v>https://investor.colgatepalmolive.com/static-files/c4a7e20c-1aa8-4bb1-bd4b-74755c99688f</x:v>
      </x:c>
      <x:c r="AC30" s="164" t="str">
        <x:v>https://investor.colgatepalmolive.com/static-files/ca92df4c-8d85-4df1-bf67-c2b76b8b36fe</x:v>
      </x:c>
      <x:c r="AD30" s="164" t="str">
        <x:v>2026-08-31</x:v>
      </x:c>
      <x:c r="AE30" s="167" t="str">
        <x:v>Reported: presence/share scope/sources. Modeled: sales/channel/retailer/marketing. Directional: sentiment and inferred priorities.</x:v>
      </x:c>
    </x:row>
    <x:row r="31" ht="18" customHeight="1">
      <x:c r="A31" s="163" t="str">
        <x:v>CA-PCA-SKIN</x:v>
      </x:c>
      <x:c r="B31" s="164" t="str">
        <x:v>CA</x:v>
      </x:c>
      <x:c r="C31" s="164" t="str">
        <x:v>PCA SKIN</x:v>
      </x:c>
      <x:c r="D31" s="164" t="str">
        <x:v>Skin Health</x:v>
      </x:c>
      <x:c r="E31" s="164" t="str">
        <x:v>Professional, science-led skin care spanning corrective treatments, peels, serums and daily regimens.</x:v>
      </x:c>
      <x:c r="F31" s="164" t="str">
        <x:v>Verified current retailer evidence</x:v>
      </x:c>
      <x:c r="G31" s="164" t="str">
        <x:v>Medium-High</x:v>
      </x:c>
      <x:c r="H31" s="164" t="str">
        <x:v>OPHC</x:v>
      </x:c>
      <x:c r="I31" s="165" t="n">
        <x:f>SUMIFS(Assumptions!$D$2:$D$35,Assumptions!$A$2:$A$35,$B31,Assumptions!$B$2:$B$35,$C31)</x:f>
        <x:v>449</x:v>
      </x:c>
      <x:c r="J31" s="166" t="n">
        <x:f>SUMIFS(Assumptions!$E$2:$E$35,Assumptions!$A$2:$A$35,$B31,Assumptions!$B$2:$B$35,$C31)</x:f>
        <x:v>0.02</x:v>
      </x:c>
      <x:c r="K31" s="165" t="n">
        <x:f>I31*J31*SUMIFS(Assumptions!$F$2:$F$35,Assumptions!$A$2:$A$35,$B31,Assumptions!$B$2:$B$35,$C31)</x:f>
        <x:v>6.286</x:v>
      </x:c>
      <x:c r="L31" s="165" t="n">
        <x:f>I31*J31</x:f>
        <x:v>8.98</x:v>
      </x:c>
      <x:c r="M31" s="165" t="n">
        <x:f>I31*J31*SUMIFS(Assumptions!$G$2:$G$35,Assumptions!$A$2:$A$35,$B31,Assumptions!$B$2:$B$35,$C31)</x:f>
        <x:v>11.674000000000001</x:v>
      </x:c>
      <x:c r="N31" s="166" t="n">
        <x:f>SUMIFS(Assumptions!$H$2:$H$35,Assumptions!$A$2:$A$35,$B31,Assumptions!$B$2:$B$35,$C31)</x:f>
        <x:v>0.4</x:v>
      </x:c>
      <x:c r="O31" s="166" t="n">
        <x:f>SUMIFS(Assumptions!$I$2:$I$35,Assumptions!$A$2:$A$35,$B31,Assumptions!$B$2:$B$35,$C31)</x:f>
        <x:v>0.6</x:v>
      </x:c>
      <x:c r="P31" s="164" t="str">
        <x:v>Professional/DTC: ~$ 4.0M; Specialist e-commerce: ~$ 2.7M; Amazon Canada: ~$ 0.9M</x:v>
      </x:c>
      <x:c r="Q31" s="165" t="n">
        <x:f>L31*SUMIFS(Assumptions!$J$2:$J$35,Assumptions!$A$2:$A$35,$B31,Assumptions!$B$2:$B$35,$C31)</x:f>
        <x:v>1.1943400000000002</x:v>
      </x:c>
      <x:c r="R31" s="164" t="str">
        <x:v>Not publicly disclosed at brand-market-category level</x:v>
      </x:c>
      <x:c r="S31" s="164" t="str">
        <x:v>Paid Nielsen/NIQ/Circana or internal data required</x:v>
      </x:c>
      <x:c r="T31" s="164" t="str">
        <x:v>Professional education; clinical regimen architecture; ingredient-led claims; treatment-room affinity.</x:v>
      </x:c>
      <x:c r="U31" s="164" t="str">
        <x:v>Visible correction, professional protocols, ingredient science and personalized regimens.</x:v>
      </x:c>
      <x:c r="V31" s="164" t="str">
        <x:v>Positive-to-mixed: efficacy/professional trust are strengths; premium price and irritation/adjustment periods recur.</x:v>
      </x:c>
      <x:c r="W31" s="164" t="str">
        <x:v>Directional synthesis of official messaging and current retailer/review signals; not a normalized score.</x:v>
      </x:c>
      <x:c r="X31" s="164" t="str">
        <x:v>Inferred: build premium science-led innovation through professional and e-commerce education.</x:v>
      </x:c>
      <x:c r="Y31" s="164" t="str">
        <x:v>High-potency anti-aging serum and targeted retinol/brightening systems.</x:v>
      </x:c>
      <x:c r="Z31" s="164" t="str">
        <x:v>https://www.pcaskin.com/</x:v>
      </x:c>
      <x:c r="AA31" s="164" t="str">
        <x:v>https://pcaskincanada.ca/products/by-skin-type/combination/pcap33-hydrating-serum</x:v>
      </x:c>
      <x:c r="AB31" s="164" t="str">
        <x:v>https://investor.colgatepalmolive.com/static-files/c4a7e20c-1aa8-4bb1-bd4b-74755c99688f</x:v>
      </x:c>
      <x:c r="AC31" s="164" t="str">
        <x:v>https://investor.colgatepalmolive.com/static-files/ca92df4c-8d85-4df1-bf67-c2b76b8b36fe</x:v>
      </x:c>
      <x:c r="AD31" s="164" t="str">
        <x:v>2026-08-31</x:v>
      </x:c>
      <x:c r="AE31" s="167" t="str">
        <x:v>Reported: presence/share scope/sources. Modeled: sales/channel/retailer/marketing. Directional: sentiment and inferred priorities.</x:v>
      </x:c>
    </x:row>
    <x:row r="32" ht="18" customHeight="1">
      <x:c r="A32" s="163" t="str">
        <x:v>CA-SOFTSOAP</x:v>
      </x:c>
      <x:c r="B32" s="164" t="str">
        <x:v>CA</x:v>
      </x:c>
      <x:c r="C32" s="164" t="str">
        <x:v>Softsoap</x:v>
      </x:c>
      <x:c r="D32" s="164" t="str">
        <x:v>Personal Care</x:v>
      </x:c>
      <x:c r="E32" s="164" t="str">
        <x:v>Accessible hand and body cleansing with recognizable scents, moisturization and refill/value formats.</x:v>
      </x:c>
      <x:c r="F32" s="164" t="str">
        <x:v>Verified current retailer evidence</x:v>
      </x:c>
      <x:c r="G32" s="164" t="str">
        <x:v>Medium-High</x:v>
      </x:c>
      <x:c r="H32" s="164" t="str">
        <x:v>OPHC</x:v>
      </x:c>
      <x:c r="I32" s="165" t="n">
        <x:f>SUMIFS(Assumptions!$D$2:$D$35,Assumptions!$A$2:$A$35,$B32,Assumptions!$B$2:$B$35,$C32)</x:f>
        <x:v>449</x:v>
      </x:c>
      <x:c r="J32" s="166" t="n">
        <x:f>SUMIFS(Assumptions!$E$2:$E$35,Assumptions!$A$2:$A$35,$B32,Assumptions!$B$2:$B$35,$C32)</x:f>
        <x:v>0.07</x:v>
      </x:c>
      <x:c r="K32" s="165" t="n">
        <x:f>I32*J32*SUMIFS(Assumptions!$F$2:$F$35,Assumptions!$A$2:$A$35,$B32,Assumptions!$B$2:$B$35,$C32)</x:f>
        <x:v>22.001</x:v>
      </x:c>
      <x:c r="L32" s="165" t="n">
        <x:f>I32*J32</x:f>
        <x:v>31.430000000000003</x:v>
      </x:c>
      <x:c r="M32" s="165" t="n">
        <x:f>I32*J32*SUMIFS(Assumptions!$G$2:$G$35,Assumptions!$A$2:$A$35,$B32,Assumptions!$B$2:$B$35,$C32)</x:f>
        <x:v>40.85900000000001</x:v>
      </x:c>
      <x:c r="N32" s="166" t="n">
        <x:f>SUMIFS(Assumptions!$H$2:$H$35,Assumptions!$A$2:$A$35,$B32,Assumptions!$B$2:$B$35,$C32)</x:f>
        <x:v>0.87</x:v>
      </x:c>
      <x:c r="O32" s="166" t="n">
        <x:f>SUMIFS(Assumptions!$I$2:$I$35,Assumptions!$A$2:$A$35,$B32,Assumptions!$B$2:$B$35,$C32)</x:f>
        <x:v>0.13</x:v>
      </x:c>
      <x:c r="P32" s="164" t="str">
        <x:v>Walmart Canada: ~$ 6.9M; Amazon Canada: ~$ 3.8M; Loblaw/Shoppers: ~$ 3.8M</x:v>
      </x:c>
      <x:c r="Q32" s="165" t="n">
        <x:f>L32*SUMIFS(Assumptions!$J$2:$J$35,Assumptions!$A$2:$A$35,$B32,Assumptions!$B$2:$B$35,$C32)</x:f>
        <x:v>4.1801900000000005</x:v>
      </x:c>
      <x:c r="R32" s="164" t="str">
        <x:v>Not publicly disclosed at brand-market-category level</x:v>
      </x:c>
      <x:c r="S32" s="164" t="str">
        <x:v>Paid Nielsen/NIQ/Circana or internal data required</x:v>
      </x:c>
      <x:c r="T32" s="164" t="str">
        <x:v>Clear pump bottles; scent/color coding; refill architecture; kitchen/bath ubiquity.</x:v>
      </x:c>
      <x:c r="U32" s="164" t="str">
        <x:v>Clean hands, skin feel, scent discovery, family hygiene and value.</x:v>
      </x:c>
      <x:c r="V32" s="164" t="str">
        <x:v>Mixed-to-positive: convenience, value and scent perform well; dryness and fragrance sensitivity recur.</x:v>
      </x:c>
      <x:c r="W32" s="164" t="str">
        <x:v>Directional synthesis of official messaging and current retailer/review signals; not a normalized score.</x:v>
      </x:c>
      <x:c r="X32" s="164" t="str">
        <x:v>Inferred: improve shelf and digital execution while highlighting formula and pack innovation.</x:v>
      </x:c>
      <x:c r="Y32" s="164" t="str">
        <x:v>Antibacterial and sensitive-skin variants; refill and moisturizing formats.</x:v>
      </x:c>
      <x:c r="Z32" s="164" t="str">
        <x:v>https://www.softsoap.com/</x:v>
      </x:c>
      <x:c r="AA32" s="164" t="str">
        <x:v>https://www.walmart.ca/en/ip/Softsoap-Liquid-Hand-Soap-Soothing-Aloe-Vera/6000199167909</x:v>
      </x:c>
      <x:c r="AB32" s="164" t="str">
        <x:v>https://investor.colgatepalmolive.com/static-files/c4a7e20c-1aa8-4bb1-bd4b-74755c99688f</x:v>
      </x:c>
      <x:c r="AC32" s="164" t="str">
        <x:v>https://investor.colgatepalmolive.com/static-files/ca92df4c-8d85-4df1-bf67-c2b76b8b36fe</x:v>
      </x:c>
      <x:c r="AD32" s="164" t="str">
        <x:v>2026-08-31</x:v>
      </x:c>
      <x:c r="AE32" s="167" t="str">
        <x:v>Reported: presence/share scope/sources. Modeled: sales/channel/retailer/marketing. Directional: sentiment and inferred priorities.</x:v>
      </x:c>
    </x:row>
    <x:row r="33" ht="18" customHeight="1">
      <x:c r="A33" s="163" t="str">
        <x:v>CA-SPEED-STICK</x:v>
      </x:c>
      <x:c r="B33" s="164" t="str">
        <x:v>CA</x:v>
      </x:c>
      <x:c r="C33" s="164" t="str">
        <x:v>Speed Stick</x:v>
      </x:c>
      <x:c r="D33" s="164" t="str">
        <x:v>Personal Care</x:v>
      </x:c>
      <x:c r="E33" s="164" t="str">
        <x:v>Value-oriented men’s deodorant and antiperspirant offering straightforward odor and sweat protection.</x:v>
      </x:c>
      <x:c r="F33" s="164" t="str">
        <x:v>Regulatory-active; retail availability not independently verified</x:v>
      </x:c>
      <x:c r="G33" s="164" t="str">
        <x:v>Medium</x:v>
      </x:c>
      <x:c r="H33" s="164" t="str">
        <x:v>OPHC</x:v>
      </x:c>
      <x:c r="I33" s="165" t="n">
        <x:f>SUMIFS(Assumptions!$D$2:$D$35,Assumptions!$A$2:$A$35,$B33,Assumptions!$B$2:$B$35,$C33)</x:f>
        <x:v>449</x:v>
      </x:c>
      <x:c r="J33" s="166" t="n">
        <x:f>SUMIFS(Assumptions!$E$2:$E$35,Assumptions!$A$2:$A$35,$B33,Assumptions!$B$2:$B$35,$C33)</x:f>
        <x:v>0.015</x:v>
      </x:c>
      <x:c r="K33" s="165" t="n">
        <x:f>I33*J33*SUMIFS(Assumptions!$F$2:$F$35,Assumptions!$A$2:$A$35,$B33,Assumptions!$B$2:$B$35,$C33)</x:f>
        <x:v>4.714499999999999</x:v>
      </x:c>
      <x:c r="L33" s="165" t="n">
        <x:f>I33*J33</x:f>
        <x:v>6.734999999999999</x:v>
      </x:c>
      <x:c r="M33" s="165" t="n">
        <x:f>I33*J33*SUMIFS(Assumptions!$G$2:$G$35,Assumptions!$A$2:$A$35,$B33,Assumptions!$B$2:$B$35,$C33)</x:f>
        <x:v>8.7555</x:v>
      </x:c>
      <x:c r="N33" s="166" t="n">
        <x:f>SUMIFS(Assumptions!$H$2:$H$35,Assumptions!$A$2:$A$35,$B33,Assumptions!$B$2:$B$35,$C33)</x:f>
        <x:v>0.87</x:v>
      </x:c>
      <x:c r="O33" s="166" t="n">
        <x:f>SUMIFS(Assumptions!$I$2:$I$35,Assumptions!$A$2:$A$35,$B33,Assumptions!$B$2:$B$35,$C33)</x:f>
        <x:v>0.13</x:v>
      </x:c>
      <x:c r="P33" s="164" t="str">
        <x:v>Walmart Canada: ~$ 1.5M; Amazon Canada: ~$ 0.8M; Loblaw/Shoppers: ~$ 0.8M</x:v>
      </x:c>
      <x:c r="Q33" s="165" t="n">
        <x:f>L33*SUMIFS(Assumptions!$J$2:$J$35,Assumptions!$A$2:$A$35,$B33,Assumptions!$B$2:$B$35,$C33)</x:f>
        <x:v>0.895755</x:v>
      </x:c>
      <x:c r="R33" s="164" t="str">
        <x:v>Not publicly disclosed at brand-market-category level</x:v>
      </x:c>
      <x:c r="S33" s="164" t="str">
        <x:v>Paid Nielsen/NIQ/Circana or internal data required</x:v>
      </x:c>
      <x:c r="T33" s="164" t="str">
        <x:v>Bold masculine colors; benefit-first naming; deodorant/antiperspirant choice; classic scent equities.</x:v>
      </x:c>
      <x:c r="U33" s="164" t="str">
        <x:v>All-day protection, active confidence, simple value and classic freshness.</x:v>
      </x:c>
      <x:c r="V33" s="164" t="str">
        <x:v>Mixed-to-positive: affordability and protection are strengths; scent, residue and skin compatibility vary.</x:v>
      </x:c>
      <x:c r="W33" s="164" t="str">
        <x:v>Directional synthesis of official messaging and current retailer/review signals; not a normalized score.</x:v>
      </x:c>
      <x:c r="X33" s="164" t="str">
        <x:v>Inferred: renew distribution and digital discoverability behind clear protection claims and value.</x:v>
      </x:c>
      <x:c r="Y33" s="164" t="str">
        <x:v>Aluminum-free deodorant, Power protection and scent/format extensions.</x:v>
      </x:c>
      <x:c r="Z33" s="164" t="str">
        <x:v>https://www.speedstick.com/</x:v>
      </x:c>
      <x:c r="AA33" s="164" t="str">
        <x:v>https://health-products.canada.ca/</x:v>
      </x:c>
      <x:c r="AB33" s="164" t="str">
        <x:v>https://investor.colgatepalmolive.com/static-files/c4a7e20c-1aa8-4bb1-bd4b-74755c99688f</x:v>
      </x:c>
      <x:c r="AC33" s="164" t="str">
        <x:v>https://investor.colgatepalmolive.com/static-files/ca92df4c-8d85-4df1-bf67-c2b76b8b36fe</x:v>
      </x:c>
      <x:c r="AD33" s="164" t="str">
        <x:v>2026-08-31</x:v>
      </x:c>
      <x:c r="AE33" s="167" t="str">
        <x:v>Reported: presence/share scope/sources. Modeled: sales/channel/retailer/marketing. Directional: sentiment and inferred priorities.</x:v>
      </x:c>
    </x:row>
    <x:row r="34" ht="18" customHeight="1">
      <x:c r="A34" s="163" t="str">
        <x:v>CA-SUAVITEL</x:v>
      </x:c>
      <x:c r="B34" s="164" t="str">
        <x:v>CA</x:v>
      </x:c>
      <x:c r="C34" s="164" t="str">
        <x:v>Suavitel</x:v>
      </x:c>
      <x:c r="D34" s="164" t="str">
        <x:v>Home Care</x:v>
      </x:c>
      <x:c r="E34" s="164" t="str">
        <x:v>Fabric care centered on softness, family care and long-lasting fragrance.</x:v>
      </x:c>
      <x:c r="F34" s="164" t="str">
        <x:v>Verified current retailer evidence</x:v>
      </x:c>
      <x:c r="G34" s="164" t="str">
        <x:v>Medium-High</x:v>
      </x:c>
      <x:c r="H34" s="164" t="str">
        <x:v>OPHC</x:v>
      </x:c>
      <x:c r="I34" s="165" t="n">
        <x:f>SUMIFS(Assumptions!$D$2:$D$35,Assumptions!$A$2:$A$35,$B34,Assumptions!$B$2:$B$35,$C34)</x:f>
        <x:v>449</x:v>
      </x:c>
      <x:c r="J34" s="166" t="n">
        <x:f>SUMIFS(Assumptions!$E$2:$E$35,Assumptions!$A$2:$A$35,$B34,Assumptions!$B$2:$B$35,$C34)</x:f>
        <x:v>0.01</x:v>
      </x:c>
      <x:c r="K34" s="165" t="n">
        <x:f>I34*J34*SUMIFS(Assumptions!$F$2:$F$35,Assumptions!$A$2:$A$35,$B34,Assumptions!$B$2:$B$35,$C34)</x:f>
        <x:v>3.143</x:v>
      </x:c>
      <x:c r="L34" s="165" t="n">
        <x:f>I34*J34</x:f>
        <x:v>4.49</x:v>
      </x:c>
      <x:c r="M34" s="165" t="n">
        <x:f>I34*J34*SUMIFS(Assumptions!$G$2:$G$35,Assumptions!$A$2:$A$35,$B34,Assumptions!$B$2:$B$35,$C34)</x:f>
        <x:v>5.837000000000001</x:v>
      </x:c>
      <x:c r="N34" s="166" t="n">
        <x:f>SUMIFS(Assumptions!$H$2:$H$35,Assumptions!$A$2:$A$35,$B34,Assumptions!$B$2:$B$35,$C34)</x:f>
        <x:v>0.85</x:v>
      </x:c>
      <x:c r="O34" s="166" t="n">
        <x:f>SUMIFS(Assumptions!$I$2:$I$35,Assumptions!$A$2:$A$35,$B34,Assumptions!$B$2:$B$35,$C34)</x:f>
        <x:v>0.15</x:v>
      </x:c>
      <x:c r="P34" s="164" t="str">
        <x:v>Walmart Canada: ~$ 1.0M; Amazon Canada: ~$ 0.5M; Loblaw/Shoppers: ~$ 0.5M</x:v>
      </x:c>
      <x:c r="Q34" s="165" t="n">
        <x:f>L34*SUMIFS(Assumptions!$J$2:$J$35,Assumptions!$A$2:$A$35,$B34,Assumptions!$B$2:$B$35,$C34)</x:f>
        <x:v>0.5971700000000001</x:v>
      </x:c>
      <x:c r="R34" s="164" t="str">
        <x:v>Not publicly disclosed at brand-market-category level</x:v>
      </x:c>
      <x:c r="S34" s="164" t="str">
        <x:v>Paid Nielsen/NIQ/Circana or internal data required</x:v>
      </x:c>
      <x:c r="T34" s="164" t="str">
        <x:v>Heart/family warmth; blue/pink scent coding; fragrance variants; Hispanic-market affinity.</x:v>
      </x:c>
      <x:c r="U34" s="164" t="str">
        <x:v>Care for family, irresistible softness, lasting scent and laundry ritual.</x:v>
      </x:c>
      <x:c r="V34" s="164" t="str">
        <x:v>Mixed-to-positive: softness and fragrance are key strengths; scent intensity and sensitivity concerns recur.</x:v>
      </x:c>
      <x:c r="W34" s="164" t="str">
        <x:v>Directional synthesis of official messaging and current retailer/review signals; not a normalized score.</x:v>
      </x:c>
      <x:c r="X34" s="164" t="str">
        <x:v>Inferred: support fragrance-led core and adjacent fabric refresh formats through omni-channel execution.</x:v>
      </x:c>
      <x:c r="Y34" s="164" t="str">
        <x:v>Shed Shield and Complete fabric refresher spray; concentrated softener variants.</x:v>
      </x:c>
      <x:c r="Z34" s="164" t="str">
        <x:v>https://www.suavitel.com/</x:v>
      </x:c>
      <x:c r="AA34" s="164" t="str">
        <x:v>https://www.walmart.ca/en/ip/Suavitel-Field-Flowers-Advanced-Liquid-Fabric-Softener-165-oz/727N8N9KXJUO</x:v>
      </x:c>
      <x:c r="AB34" s="164" t="str">
        <x:v>https://investor.colgatepalmolive.com/static-files/c4a7e20c-1aa8-4bb1-bd4b-74755c99688f</x:v>
      </x:c>
      <x:c r="AC34" s="164" t="str">
        <x:v>https://investor.colgatepalmolive.com/static-files/ca92df4c-8d85-4df1-bf67-c2b76b8b36fe</x:v>
      </x:c>
      <x:c r="AD34" s="164" t="str">
        <x:v>2026-08-31</x:v>
      </x:c>
      <x:c r="AE34" s="167" t="str">
        <x:v>Reported: presence/share scope/sources. Modeled: sales/channel/retailer/marketing. Directional: sentiment and inferred priorities.</x:v>
      </x:c>
    </x:row>
    <x:row r="35" ht="18" customHeight="1">
      <x:c r="A35" s="168" t="str">
        <x:v>CA-TOM-S-OF-MAINE</x:v>
      </x:c>
      <x:c r="B35" s="169" t="str">
        <x:v>CA</x:v>
      </x:c>
      <x:c r="C35" s="169" t="str">
        <x:v>Tom's of Maine</x:v>
      </x:c>
      <x:c r="D35" s="169" t="str">
        <x:v>Oral Care</x:v>
      </x:c>
      <x:c r="E35" s="169" t="str">
        <x:v>Natural-positioned personal and oral care built on ingredient transparency, responsibility and community giving.</x:v>
      </x:c>
      <x:c r="F35" s="169" t="str">
        <x:v>Verified current retailer evidence</x:v>
      </x:c>
      <x:c r="G35" s="169" t="str">
        <x:v>Medium-High</x:v>
      </x:c>
      <x:c r="H35" s="169" t="str">
        <x:v>OPHC</x:v>
      </x:c>
      <x:c r="I35" s="170" t="n">
        <x:f>SUMIFS(Assumptions!$D$2:$D$35,Assumptions!$A$2:$A$35,$B35,Assumptions!$B$2:$B$35,$C35)</x:f>
        <x:v>449</x:v>
      </x:c>
      <x:c r="J35" s="171" t="n">
        <x:f>SUMIFS(Assumptions!$E$2:$E$35,Assumptions!$A$2:$A$35,$B35,Assumptions!$B$2:$B$35,$C35)</x:f>
        <x:v>0.03</x:v>
      </x:c>
      <x:c r="K35" s="170" t="n">
        <x:f>I35*J35*SUMIFS(Assumptions!$F$2:$F$35,Assumptions!$A$2:$A$35,$B35,Assumptions!$B$2:$B$35,$C35)</x:f>
        <x:v>9.428999999999998</x:v>
      </x:c>
      <x:c r="L35" s="170" t="n">
        <x:f>I35*J35</x:f>
        <x:v>13.469999999999999</x:v>
      </x:c>
      <x:c r="M35" s="170" t="n">
        <x:f>I35*J35*SUMIFS(Assumptions!$G$2:$G$35,Assumptions!$A$2:$A$35,$B35,Assumptions!$B$2:$B$35,$C35)</x:f>
        <x:v>17.511</x:v>
      </x:c>
      <x:c r="N35" s="171" t="n">
        <x:f>SUMIFS(Assumptions!$H$2:$H$35,Assumptions!$A$2:$A$35,$B35,Assumptions!$B$2:$B$35,$C35)</x:f>
        <x:v>0.82</x:v>
      </x:c>
      <x:c r="O35" s="171" t="n">
        <x:f>SUMIFS(Assumptions!$I$2:$I$35,Assumptions!$A$2:$A$35,$B35,Assumptions!$B$2:$B$35,$C35)</x:f>
        <x:v>0.18</x:v>
      </x:c>
      <x:c r="P35" s="169" t="str">
        <x:v>Walmart Canada: ~$ 3.0M; Amazon Canada: ~$ 1.6M; Loblaw/Shoppers: ~$ 1.6M</x:v>
      </x:c>
      <x:c r="Q35" s="170" t="n">
        <x:f>L35*SUMIFS(Assumptions!$J$2:$J$35,Assumptions!$A$2:$A$35,$B35,Assumptions!$B$2:$B$35,$C35)</x:f>
        <x:v>1.79151</x:v>
      </x:c>
      <x:c r="R35" s="169" t="str">
        <x:v>Not publicly disclosed at brand-market-category level</x:v>
      </x:c>
      <x:c r="S35" s="169" t="str">
        <x:v>Paid Nielsen/NIQ/Circana or internal data required</x:v>
      </x:c>
      <x:c r="T35" s="169" t="str">
        <x:v>Maine provenance; natural ingredients; simple pack system; purpose/community credentials.</x:v>
      </x:c>
      <x:c r="U35" s="169" t="str">
        <x:v>Naturally sourced ingredients, responsible packaging, community impact and everyday family wellness.</x:v>
      </x:c>
      <x:c r="V35" s="169" t="str">
        <x:v>Mixed-to-positive: loyal natural-care users value ingredient choices; efficacy, texture and flavor generate mixed reviews.</x:v>
      </x:c>
      <x:c r="W35" s="169" t="str">
        <x:v>Directional synthesis of official messaging and current retailer/review signals; not a normalized score.</x:v>
      </x:c>
      <x:c r="X35" s="169" t="str">
        <x:v>Inferred: defend natural-care differentiation while supporting science-led claims and omni-channel visibility.</x:v>
      </x:c>
      <x:c r="Y35" s="169" t="str">
        <x:v>Fluoride and fluoride-free variants, natural whitening/sensitivity and plastic-reduction initiatives.</x:v>
      </x:c>
      <x:c r="Z35" s="169" t="str">
        <x:v>https://www.tomsofmaine.com/</x:v>
      </x:c>
      <x:c r="AA35" s="169" t="str">
        <x:v>https://www.walmart.ca/en/ip/Tom-s-of-Maine-Natural-Whole-Care-Anticavity-Toothpaste-with-Fluoride-Cinnamon-Clove-4-oz/1G60ZAD83N8Z</x:v>
      </x:c>
      <x:c r="AB35" s="169" t="str">
        <x:v>https://investor.colgatepalmolive.com/static-files/c4a7e20c-1aa8-4bb1-bd4b-74755c99688f</x:v>
      </x:c>
      <x:c r="AC35" s="169" t="str">
        <x:v>https://investor.colgatepalmolive.com/static-files/ca92df4c-8d85-4df1-bf67-c2b76b8b36fe</x:v>
      </x:c>
      <x:c r="AD35" s="169" t="str">
        <x:v>2026-08-31</x:v>
      </x:c>
      <x:c r="AE35" s="172" t="str">
        <x:v>Reported: presence/share scope/sources. Modeled: sales/channel/retailer/marketing. Directional: sentiment and inferred priorities.</x:v>
      </x:c>
    </x:row>
  </x:sheetData>
  <x:pageMargins left="0.7" right="0.7" top="0.75" bottom="0.75" header="0.3" footer="0.3"/>
  <x:tableParts count="1">
    <x:tablePart xmlns:r="http://schemas.openxmlformats.org/officeDocument/2006/relationships" r:id="Rd45d184d731e497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18" hidden="0" customWidth="1"/>
    <x:col min="4" max="4" width="24" hidden="0" customWidth="1"/>
    <x:col min="5" max="5" width="14" hidden="0" customWidth="1"/>
    <x:col min="6" max="6" width="22" hidden="0" customWidth="1"/>
    <x:col min="7" max="7" width="22" hidden="0" customWidth="1"/>
    <x:col min="8" max="8" width="55" hidden="0" customWidth="1"/>
  </x:cols>
  <x:sheetData>
    <x:row r="1" ht="38" customHeight="1">
      <x:c r="A1" s="124" t="str">
        <x:v>Market</x:v>
      </x:c>
      <x:c r="B1" s="124" t="str">
        <x:v>Brand</x:v>
      </x:c>
      <x:c r="C1" s="124" t="str">
        <x:v>Category</x:v>
      </x:c>
      <x:c r="D1" s="124" t="str">
        <x:v>Retailer / Channel</x:v>
      </x:c>
      <x:c r="E1" s="124" t="str">
        <x:v>Allocation %</x:v>
      </x:c>
      <x:c r="F1" s="124" t="str">
        <x:v>Brand Sales Mid USD M</x:v>
      </x:c>
      <x:c r="G1" s="124" t="str">
        <x:v>Est. Yearly Spend USD M</x:v>
      </x:c>
      <x:c r="H1" s="124" t="str">
        <x:v>Method</x:v>
      </x:c>
    </x:row>
    <x:row r="2" ht="18" customHeight="1">
      <x:c r="A2" s="143" t="str">
        <x:v>USA</x:v>
      </x:c>
      <x:c r="B2" s="144" t="str">
        <x:v>Ajax</x:v>
      </x:c>
      <x:c r="C2" s="144" t="str">
        <x:v>Home Care</x:v>
      </x:c>
      <x:c r="D2" s="144" t="str">
        <x:v>Walmart</x:v>
      </x:c>
      <x:c r="E2" s="155" t="n">
        <x:v>0.26</x:v>
      </x:c>
      <x:c r="F2" s="152" t="n">
        <x:f>SUMIFS('Brand Repository'!$L$2:$L$35,'Brand Repository'!$B$2:$B$35,$A2,'Brand Repository'!$C$2:$C$35,$B2)</x:f>
        <x:v>107.88</x:v>
      </x:c>
      <x:c r="G2" s="152" t="n">
        <x:f>E2*F2</x:f>
        <x:v>28.0488</x:v>
      </x:c>
      <x:c r="H2" s="145" t="str">
        <x:v>Modeled allocation; editable assumption, not retailer-reported.</x:v>
      </x:c>
    </x:row>
    <x:row r="3" ht="18" customHeight="1">
      <x:c r="A3" s="146" t="str">
        <x:v>USA</x:v>
      </x:c>
      <x:c r="B3" s="147" t="str">
        <x:v>Ajax</x:v>
      </x:c>
      <x:c r="C3" s="147" t="str">
        <x:v>Home Care</x:v>
      </x:c>
      <x:c r="D3" s="147" t="str">
        <x:v>Amazon</x:v>
      </x:c>
      <x:c r="E3" s="156" t="n">
        <x:v>0.14</x:v>
      </x:c>
      <x:c r="F3" s="153" t="n">
        <x:f>SUMIFS('Brand Repository'!$L$2:$L$35,'Brand Repository'!$B$2:$B$35,$A3,'Brand Repository'!$C$2:$C$35,$B3)</x:f>
        <x:v>107.88</x:v>
      </x:c>
      <x:c r="G3" s="153" t="n">
        <x:f>E3*F3</x:f>
        <x:v>15.103200000000001</x:v>
      </x:c>
      <x:c r="H3" s="148" t="str">
        <x:v>Modeled allocation; editable assumption, not retailer-reported.</x:v>
      </x:c>
    </x:row>
    <x:row r="4" ht="18" customHeight="1">
      <x:c r="A4" s="146" t="str">
        <x:v>USA</x:v>
      </x:c>
      <x:c r="B4" s="147" t="str">
        <x:v>Ajax</x:v>
      </x:c>
      <x:c r="C4" s="147" t="str">
        <x:v>Home Care</x:v>
      </x:c>
      <x:c r="D4" s="147" t="str">
        <x:v>Target</x:v>
      </x:c>
      <x:c r="E4" s="156" t="n">
        <x:v>0.12</x:v>
      </x:c>
      <x:c r="F4" s="153" t="n">
        <x:f>SUMIFS('Brand Repository'!$L$2:$L$35,'Brand Repository'!$B$2:$B$35,$A4,'Brand Repository'!$C$2:$C$35,$B4)</x:f>
        <x:v>107.88</x:v>
      </x:c>
      <x:c r="G4" s="153" t="n">
        <x:f>E4*F4</x:f>
        <x:v>12.945599999999999</x:v>
      </x:c>
      <x:c r="H4" s="148" t="str">
        <x:v>Modeled allocation; editable assumption, not retailer-reported.</x:v>
      </x:c>
    </x:row>
    <x:row r="5" ht="18" customHeight="1">
      <x:c r="A5" s="146" t="str">
        <x:v>USA</x:v>
      </x:c>
      <x:c r="B5" s="147" t="str">
        <x:v>Ajax</x:v>
      </x:c>
      <x:c r="C5" s="147" t="str">
        <x:v>Home Care</x:v>
      </x:c>
      <x:c r="D5" s="147" t="str">
        <x:v>Club retailers</x:v>
      </x:c>
      <x:c r="E5" s="156" t="n">
        <x:v>0.08</x:v>
      </x:c>
      <x:c r="F5" s="153" t="n">
        <x:f>SUMIFS('Brand Repository'!$L$2:$L$35,'Brand Repository'!$B$2:$B$35,$A5,'Brand Repository'!$C$2:$C$35,$B5)</x:f>
        <x:v>107.88</x:v>
      </x:c>
      <x:c r="G5" s="153" t="n">
        <x:f>E5*F5</x:f>
        <x:v>8.6304</x:v>
      </x:c>
      <x:c r="H5" s="148" t="str">
        <x:v>Modeled allocation; editable assumption, not retailer-reported.</x:v>
      </x:c>
    </x:row>
    <x:row r="6" ht="18" customHeight="1">
      <x:c r="A6" s="146" t="str">
        <x:v>USA</x:v>
      </x:c>
      <x:c r="B6" s="147" t="str">
        <x:v>Ajax</x:v>
      </x:c>
      <x:c r="C6" s="147" t="str">
        <x:v>Home Care</x:v>
      </x:c>
      <x:c r="D6" s="147" t="str">
        <x:v>Drug/grocery</x:v>
      </x:c>
      <x:c r="E6" s="156" t="n">
        <x:v>0.14</x:v>
      </x:c>
      <x:c r="F6" s="153" t="n">
        <x:f>SUMIFS('Brand Repository'!$L$2:$L$35,'Brand Repository'!$B$2:$B$35,$A6,'Brand Repository'!$C$2:$C$35,$B6)</x:f>
        <x:v>107.88</x:v>
      </x:c>
      <x:c r="G6" s="153" t="n">
        <x:f>E6*F6</x:f>
        <x:v>15.103200000000001</x:v>
      </x:c>
      <x:c r="H6" s="148" t="str">
        <x:v>Modeled allocation; editable assumption, not retailer-reported.</x:v>
      </x:c>
    </x:row>
    <x:row r="7" ht="18" customHeight="1">
      <x:c r="A7" s="146" t="str">
        <x:v>USA</x:v>
      </x:c>
      <x:c r="B7" s="147" t="str">
        <x:v>Ajax</x:v>
      </x:c>
      <x:c r="C7" s="147" t="str">
        <x:v>Home Care</x:v>
      </x:c>
      <x:c r="D7" s="147" t="str">
        <x:v>Other</x:v>
      </x:c>
      <x:c r="E7" s="156" t="n">
        <x:v>0.26</x:v>
      </x:c>
      <x:c r="F7" s="153" t="n">
        <x:f>SUMIFS('Brand Repository'!$L$2:$L$35,'Brand Repository'!$B$2:$B$35,$A7,'Brand Repository'!$C$2:$C$35,$B7)</x:f>
        <x:v>107.88</x:v>
      </x:c>
      <x:c r="G7" s="153" t="n">
        <x:f>E7*F7</x:f>
        <x:v>28.0488</x:v>
      </x:c>
      <x:c r="H7" s="148" t="str">
        <x:v>Modeled allocation; editable assumption, not retailer-reported.</x:v>
      </x:c>
    </x:row>
    <x:row r="8" ht="18" customHeight="1">
      <x:c r="A8" s="146" t="str">
        <x:v>USA</x:v>
      </x:c>
      <x:c r="B8" s="147" t="str">
        <x:v>Colgate</x:v>
      </x:c>
      <x:c r="C8" s="147" t="str">
        <x:v>Oral Care</x:v>
      </x:c>
      <x:c r="D8" s="147" t="str">
        <x:v>Walmart</x:v>
      </x:c>
      <x:c r="E8" s="156" t="n">
        <x:v>0.26</x:v>
      </x:c>
      <x:c r="F8" s="153" t="n">
        <x:f>SUMIFS('Brand Repository'!$L$2:$L$35,'Brand Repository'!$B$2:$B$35,$A8,'Brand Repository'!$C$2:$C$35,$B8)</x:f>
        <x:v>1294.56</x:v>
      </x:c>
      <x:c r="G8" s="153" t="n">
        <x:f>E8*F8</x:f>
        <x:v>336.5856</x:v>
      </x:c>
      <x:c r="H8" s="148" t="str">
        <x:v>Modeled allocation; editable assumption, not retailer-reported.</x:v>
      </x:c>
    </x:row>
    <x:row r="9" ht="18" customHeight="1">
      <x:c r="A9" s="146" t="str">
        <x:v>USA</x:v>
      </x:c>
      <x:c r="B9" s="147" t="str">
        <x:v>Colgate</x:v>
      </x:c>
      <x:c r="C9" s="147" t="str">
        <x:v>Oral Care</x:v>
      </x:c>
      <x:c r="D9" s="147" t="str">
        <x:v>Amazon</x:v>
      </x:c>
      <x:c r="E9" s="156" t="n">
        <x:v>0.14</x:v>
      </x:c>
      <x:c r="F9" s="153" t="n">
        <x:f>SUMIFS('Brand Repository'!$L$2:$L$35,'Brand Repository'!$B$2:$B$35,$A9,'Brand Repository'!$C$2:$C$35,$B9)</x:f>
        <x:v>1294.56</x:v>
      </x:c>
      <x:c r="G9" s="153" t="n">
        <x:f>E9*F9</x:f>
        <x:v>181.2384</x:v>
      </x:c>
      <x:c r="H9" s="148" t="str">
        <x:v>Modeled allocation; editable assumption, not retailer-reported.</x:v>
      </x:c>
    </x:row>
    <x:row r="10" ht="18" customHeight="1">
      <x:c r="A10" s="146" t="str">
        <x:v>USA</x:v>
      </x:c>
      <x:c r="B10" s="147" t="str">
        <x:v>Colgate</x:v>
      </x:c>
      <x:c r="C10" s="147" t="str">
        <x:v>Oral Care</x:v>
      </x:c>
      <x:c r="D10" s="147" t="str">
        <x:v>Target</x:v>
      </x:c>
      <x:c r="E10" s="156" t="n">
        <x:v>0.12</x:v>
      </x:c>
      <x:c r="F10" s="153" t="n">
        <x:f>SUMIFS('Brand Repository'!$L$2:$L$35,'Brand Repository'!$B$2:$B$35,$A10,'Brand Repository'!$C$2:$C$35,$B10)</x:f>
        <x:v>1294.56</x:v>
      </x:c>
      <x:c r="G10" s="153" t="n">
        <x:f>E10*F10</x:f>
        <x:v>155.3472</x:v>
      </x:c>
      <x:c r="H10" s="148" t="str">
        <x:v>Modeled allocation; editable assumption, not retailer-reported.</x:v>
      </x:c>
    </x:row>
    <x:row r="11" ht="18" customHeight="1">
      <x:c r="A11" s="146" t="str">
        <x:v>USA</x:v>
      </x:c>
      <x:c r="B11" s="147" t="str">
        <x:v>Colgate</x:v>
      </x:c>
      <x:c r="C11" s="147" t="str">
        <x:v>Oral Care</x:v>
      </x:c>
      <x:c r="D11" s="147" t="str">
        <x:v>Club retailers</x:v>
      </x:c>
      <x:c r="E11" s="156" t="n">
        <x:v>0.08</x:v>
      </x:c>
      <x:c r="F11" s="153" t="n">
        <x:f>SUMIFS('Brand Repository'!$L$2:$L$35,'Brand Repository'!$B$2:$B$35,$A11,'Brand Repository'!$C$2:$C$35,$B11)</x:f>
        <x:v>1294.56</x:v>
      </x:c>
      <x:c r="G11" s="153" t="n">
        <x:f>E11*F11</x:f>
        <x:v>103.56479999999999</x:v>
      </x:c>
      <x:c r="H11" s="148" t="str">
        <x:v>Modeled allocation; editable assumption, not retailer-reported.</x:v>
      </x:c>
    </x:row>
    <x:row r="12" ht="18" customHeight="1">
      <x:c r="A12" s="146" t="str">
        <x:v>USA</x:v>
      </x:c>
      <x:c r="B12" s="147" t="str">
        <x:v>Colgate</x:v>
      </x:c>
      <x:c r="C12" s="147" t="str">
        <x:v>Oral Care</x:v>
      </x:c>
      <x:c r="D12" s="147" t="str">
        <x:v>Drug/grocery</x:v>
      </x:c>
      <x:c r="E12" s="156" t="n">
        <x:v>0.14</x:v>
      </x:c>
      <x:c r="F12" s="153" t="n">
        <x:f>SUMIFS('Brand Repository'!$L$2:$L$35,'Brand Repository'!$B$2:$B$35,$A12,'Brand Repository'!$C$2:$C$35,$B12)</x:f>
        <x:v>1294.56</x:v>
      </x:c>
      <x:c r="G12" s="153" t="n">
        <x:f>E12*F12</x:f>
        <x:v>181.2384</x:v>
      </x:c>
      <x:c r="H12" s="148" t="str">
        <x:v>Modeled allocation; editable assumption, not retailer-reported.</x:v>
      </x:c>
    </x:row>
    <x:row r="13" ht="18" customHeight="1">
      <x:c r="A13" s="146" t="str">
        <x:v>USA</x:v>
      </x:c>
      <x:c r="B13" s="147" t="str">
        <x:v>Colgate</x:v>
      </x:c>
      <x:c r="C13" s="147" t="str">
        <x:v>Oral Care</x:v>
      </x:c>
      <x:c r="D13" s="147" t="str">
        <x:v>Other</x:v>
      </x:c>
      <x:c r="E13" s="156" t="n">
        <x:v>0.26</x:v>
      </x:c>
      <x:c r="F13" s="153" t="n">
        <x:f>SUMIFS('Brand Repository'!$L$2:$L$35,'Brand Repository'!$B$2:$B$35,$A13,'Brand Repository'!$C$2:$C$35,$B13)</x:f>
        <x:v>1294.56</x:v>
      </x:c>
      <x:c r="G13" s="153" t="n">
        <x:f>E13*F13</x:f>
        <x:v>336.5856</x:v>
      </x:c>
      <x:c r="H13" s="148" t="str">
        <x:v>Modeled allocation; editable assumption, not retailer-reported.</x:v>
      </x:c>
    </x:row>
    <x:row r="14" ht="18" customHeight="1">
      <x:c r="A14" s="146" t="str">
        <x:v>USA</x:v>
      </x:c>
      <x:c r="B14" s="147" t="str">
        <x:v>EltaMD</x:v>
      </x:c>
      <x:c r="C14" s="147" t="str">
        <x:v>Skin Health</x:v>
      </x:c>
      <x:c r="D14" s="147" t="str">
        <x:v>Professional/DTC</x:v>
      </x:c>
      <x:c r="E14" s="156" t="n">
        <x:v>0.45</x:v>
      </x:c>
      <x:c r="F14" s="153" t="n">
        <x:f>SUMIFS('Brand Repository'!$L$2:$L$35,'Brand Repository'!$B$2:$B$35,$A14,'Brand Repository'!$C$2:$C$35,$B14)</x:f>
        <x:v>251.72000000000003</x:v>
      </x:c>
      <x:c r="G14" s="153" t="n">
        <x:f>E14*F14</x:f>
        <x:v>113.27400000000002</x:v>
      </x:c>
      <x:c r="H14" s="148" t="str">
        <x:v>Modeled allocation; editable assumption, not retailer-reported.</x:v>
      </x:c>
    </x:row>
    <x:row r="15" ht="18" customHeight="1">
      <x:c r="A15" s="146" t="str">
        <x:v>USA</x:v>
      </x:c>
      <x:c r="B15" s="147" t="str">
        <x:v>EltaMD</x:v>
      </x:c>
      <x:c r="C15" s="147" t="str">
        <x:v>Skin Health</x:v>
      </x:c>
      <x:c r="D15" s="147" t="str">
        <x:v>Dermstore/Ulta</x:v>
      </x:c>
      <x:c r="E15" s="156" t="n">
        <x:v>0.15</x:v>
      </x:c>
      <x:c r="F15" s="153" t="n">
        <x:f>SUMIFS('Brand Repository'!$L$2:$L$35,'Brand Repository'!$B$2:$B$35,$A15,'Brand Repository'!$C$2:$C$35,$B15)</x:f>
        <x:v>251.72000000000003</x:v>
      </x:c>
      <x:c r="G15" s="153" t="n">
        <x:f>E15*F15</x:f>
        <x:v>37.758</x:v>
      </x:c>
      <x:c r="H15" s="148" t="str">
        <x:v>Modeled allocation; editable assumption, not retailer-reported.</x:v>
      </x:c>
    </x:row>
    <x:row r="16" ht="18" customHeight="1">
      <x:c r="A16" s="146" t="str">
        <x:v>USA</x:v>
      </x:c>
      <x:c r="B16" s="147" t="str">
        <x:v>EltaMD</x:v>
      </x:c>
      <x:c r="C16" s="147" t="str">
        <x:v>Skin Health</x:v>
      </x:c>
      <x:c r="D16" s="147" t="str">
        <x:v>Amazon</x:v>
      </x:c>
      <x:c r="E16" s="156" t="n">
        <x:v>0.15</x:v>
      </x:c>
      <x:c r="F16" s="153" t="n">
        <x:f>SUMIFS('Brand Repository'!$L$2:$L$35,'Brand Repository'!$B$2:$B$35,$A16,'Brand Repository'!$C$2:$C$35,$B16)</x:f>
        <x:v>251.72000000000003</x:v>
      </x:c>
      <x:c r="G16" s="153" t="n">
        <x:f>E16*F16</x:f>
        <x:v>37.758</x:v>
      </x:c>
      <x:c r="H16" s="148" t="str">
        <x:v>Modeled allocation; editable assumption, not retailer-reported.</x:v>
      </x:c>
    </x:row>
    <x:row r="17" ht="18" customHeight="1">
      <x:c r="A17" s="146" t="str">
        <x:v>USA</x:v>
      </x:c>
      <x:c r="B17" s="147" t="str">
        <x:v>EltaMD</x:v>
      </x:c>
      <x:c r="C17" s="147" t="str">
        <x:v>Skin Health</x:v>
      </x:c>
      <x:c r="D17" s="147" t="str">
        <x:v>Clinics</x:v>
      </x:c>
      <x:c r="E17" s="156" t="n">
        <x:v>0.15</x:v>
      </x:c>
      <x:c r="F17" s="153" t="n">
        <x:f>SUMIFS('Brand Repository'!$L$2:$L$35,'Brand Repository'!$B$2:$B$35,$A17,'Brand Repository'!$C$2:$C$35,$B17)</x:f>
        <x:v>251.72000000000003</x:v>
      </x:c>
      <x:c r="G17" s="153" t="n">
        <x:f>E17*F17</x:f>
        <x:v>37.758</x:v>
      </x:c>
      <x:c r="H17" s="148" t="str">
        <x:v>Modeled allocation; editable assumption, not retailer-reported.</x:v>
      </x:c>
    </x:row>
    <x:row r="18" ht="18" customHeight="1">
      <x:c r="A18" s="146" t="str">
        <x:v>USA</x:v>
      </x:c>
      <x:c r="B18" s="147" t="str">
        <x:v>EltaMD</x:v>
      </x:c>
      <x:c r="C18" s="147" t="str">
        <x:v>Skin Health</x:v>
      </x:c>
      <x:c r="D18" s="147" t="str">
        <x:v>Other</x:v>
      </x:c>
      <x:c r="E18" s="156" t="n">
        <x:v>0.1</x:v>
      </x:c>
      <x:c r="F18" s="153" t="n">
        <x:f>SUMIFS('Brand Repository'!$L$2:$L$35,'Brand Repository'!$B$2:$B$35,$A18,'Brand Repository'!$C$2:$C$35,$B18)</x:f>
        <x:v>251.72000000000003</x:v>
      </x:c>
      <x:c r="G18" s="153" t="n">
        <x:f>E18*F18</x:f>
        <x:v>25.172000000000004</x:v>
      </x:c>
      <x:c r="H18" s="148" t="str">
        <x:v>Modeled allocation; editable assumption, not retailer-reported.</x:v>
      </x:c>
    </x:row>
    <x:row r="19" ht="18" customHeight="1">
      <x:c r="A19" s="146" t="str">
        <x:v>USA</x:v>
      </x:c>
      <x:c r="B19" s="147" t="str">
        <x:v>Fabuloso</x:v>
      </x:c>
      <x:c r="C19" s="147" t="str">
        <x:v>Home Care</x:v>
      </x:c>
      <x:c r="D19" s="147" t="str">
        <x:v>Walmart</x:v>
      </x:c>
      <x:c r="E19" s="156" t="n">
        <x:v>0.26</x:v>
      </x:c>
      <x:c r="F19" s="153" t="n">
        <x:f>SUMIFS('Brand Repository'!$L$2:$L$35,'Brand Repository'!$B$2:$B$35,$A19,'Brand Repository'!$C$2:$C$35,$B19)</x:f>
        <x:v>287.68</x:v>
      </x:c>
      <x:c r="G19" s="153" t="n">
        <x:f>E19*F19</x:f>
        <x:v>74.7968</x:v>
      </x:c>
      <x:c r="H19" s="148" t="str">
        <x:v>Modeled allocation; editable assumption, not retailer-reported.</x:v>
      </x:c>
    </x:row>
    <x:row r="20" ht="18" customHeight="1">
      <x:c r="A20" s="146" t="str">
        <x:v>USA</x:v>
      </x:c>
      <x:c r="B20" s="147" t="str">
        <x:v>Fabuloso</x:v>
      </x:c>
      <x:c r="C20" s="147" t="str">
        <x:v>Home Care</x:v>
      </x:c>
      <x:c r="D20" s="147" t="str">
        <x:v>Amazon</x:v>
      </x:c>
      <x:c r="E20" s="156" t="n">
        <x:v>0.14</x:v>
      </x:c>
      <x:c r="F20" s="153" t="n">
        <x:f>SUMIFS('Brand Repository'!$L$2:$L$35,'Brand Repository'!$B$2:$B$35,$A20,'Brand Repository'!$C$2:$C$35,$B20)</x:f>
        <x:v>287.68</x:v>
      </x:c>
      <x:c r="G20" s="153" t="n">
        <x:f>E20*F20</x:f>
        <x:v>40.275200000000005</x:v>
      </x:c>
      <x:c r="H20" s="148" t="str">
        <x:v>Modeled allocation; editable assumption, not retailer-reported.</x:v>
      </x:c>
    </x:row>
    <x:row r="21" ht="18" customHeight="1">
      <x:c r="A21" s="146" t="str">
        <x:v>USA</x:v>
      </x:c>
      <x:c r="B21" s="147" t="str">
        <x:v>Fabuloso</x:v>
      </x:c>
      <x:c r="C21" s="147" t="str">
        <x:v>Home Care</x:v>
      </x:c>
      <x:c r="D21" s="147" t="str">
        <x:v>Target</x:v>
      </x:c>
      <x:c r="E21" s="156" t="n">
        <x:v>0.12</x:v>
      </x:c>
      <x:c r="F21" s="153" t="n">
        <x:f>SUMIFS('Brand Repository'!$L$2:$L$35,'Brand Repository'!$B$2:$B$35,$A21,'Brand Repository'!$C$2:$C$35,$B21)</x:f>
        <x:v>287.68</x:v>
      </x:c>
      <x:c r="G21" s="153" t="n">
        <x:f>E21*F21</x:f>
        <x:v>34.5216</x:v>
      </x:c>
      <x:c r="H21" s="148" t="str">
        <x:v>Modeled allocation; editable assumption, not retailer-reported.</x:v>
      </x:c>
    </x:row>
    <x:row r="22" ht="18" customHeight="1">
      <x:c r="A22" s="146" t="str">
        <x:v>USA</x:v>
      </x:c>
      <x:c r="B22" s="147" t="str">
        <x:v>Fabuloso</x:v>
      </x:c>
      <x:c r="C22" s="147" t="str">
        <x:v>Home Care</x:v>
      </x:c>
      <x:c r="D22" s="147" t="str">
        <x:v>Club retailers</x:v>
      </x:c>
      <x:c r="E22" s="156" t="n">
        <x:v>0.08</x:v>
      </x:c>
      <x:c r="F22" s="153" t="n">
        <x:f>SUMIFS('Brand Repository'!$L$2:$L$35,'Brand Repository'!$B$2:$B$35,$A22,'Brand Repository'!$C$2:$C$35,$B22)</x:f>
        <x:v>287.68</x:v>
      </x:c>
      <x:c r="G22" s="153" t="n">
        <x:f>E22*F22</x:f>
        <x:v>23.014400000000002</x:v>
      </x:c>
      <x:c r="H22" s="148" t="str">
        <x:v>Modeled allocation; editable assumption, not retailer-reported.</x:v>
      </x:c>
    </x:row>
    <x:row r="23" ht="18" customHeight="1">
      <x:c r="A23" s="146" t="str">
        <x:v>USA</x:v>
      </x:c>
      <x:c r="B23" s="147" t="str">
        <x:v>Fabuloso</x:v>
      </x:c>
      <x:c r="C23" s="147" t="str">
        <x:v>Home Care</x:v>
      </x:c>
      <x:c r="D23" s="147" t="str">
        <x:v>Drug/grocery</x:v>
      </x:c>
      <x:c r="E23" s="156" t="n">
        <x:v>0.14</x:v>
      </x:c>
      <x:c r="F23" s="153" t="n">
        <x:f>SUMIFS('Brand Repository'!$L$2:$L$35,'Brand Repository'!$B$2:$B$35,$A23,'Brand Repository'!$C$2:$C$35,$B23)</x:f>
        <x:v>287.68</x:v>
      </x:c>
      <x:c r="G23" s="153" t="n">
        <x:f>E23*F23</x:f>
        <x:v>40.275200000000005</x:v>
      </x:c>
      <x:c r="H23" s="148" t="str">
        <x:v>Modeled allocation; editable assumption, not retailer-reported.</x:v>
      </x:c>
    </x:row>
    <x:row r="24" ht="18" customHeight="1">
      <x:c r="A24" s="146" t="str">
        <x:v>USA</x:v>
      </x:c>
      <x:c r="B24" s="147" t="str">
        <x:v>Fabuloso</x:v>
      </x:c>
      <x:c r="C24" s="147" t="str">
        <x:v>Home Care</x:v>
      </x:c>
      <x:c r="D24" s="147" t="str">
        <x:v>Other</x:v>
      </x:c>
      <x:c r="E24" s="156" t="n">
        <x:v>0.26</x:v>
      </x:c>
      <x:c r="F24" s="153" t="n">
        <x:f>SUMIFS('Brand Repository'!$L$2:$L$35,'Brand Repository'!$B$2:$B$35,$A24,'Brand Repository'!$C$2:$C$35,$B24)</x:f>
        <x:v>287.68</x:v>
      </x:c>
      <x:c r="G24" s="153" t="n">
        <x:f>E24*F24</x:f>
        <x:v>74.7968</x:v>
      </x:c>
      <x:c r="H24" s="148" t="str">
        <x:v>Modeled allocation; editable assumption, not retailer-reported.</x:v>
      </x:c>
    </x:row>
    <x:row r="25" ht="18" customHeight="1">
      <x:c r="A25" s="146" t="str">
        <x:v>USA</x:v>
      </x:c>
      <x:c r="B25" s="147" t="str">
        <x:v>FILORGA</x:v>
      </x:c>
      <x:c r="C25" s="147" t="str">
        <x:v>Skin Health</x:v>
      </x:c>
      <x:c r="D25" s="147" t="str">
        <x:v>Professional/DTC</x:v>
      </x:c>
      <x:c r="E25" s="156" t="n">
        <x:v>0.45</x:v>
      </x:c>
      <x:c r="F25" s="153" t="n">
        <x:f>SUMIFS('Brand Repository'!$L$2:$L$35,'Brand Repository'!$B$2:$B$35,$A25,'Brand Repository'!$C$2:$C$35,$B25)</x:f>
        <x:v>71.92</x:v>
      </x:c>
      <x:c r="G25" s="153" t="n">
        <x:f>E25*F25</x:f>
        <x:v>32.364000000000004</x:v>
      </x:c>
      <x:c r="H25" s="148" t="str">
        <x:v>Modeled allocation; editable assumption, not retailer-reported.</x:v>
      </x:c>
    </x:row>
    <x:row r="26" ht="18" customHeight="1">
      <x:c r="A26" s="146" t="str">
        <x:v>USA</x:v>
      </x:c>
      <x:c r="B26" s="147" t="str">
        <x:v>FILORGA</x:v>
      </x:c>
      <x:c r="C26" s="147" t="str">
        <x:v>Skin Health</x:v>
      </x:c>
      <x:c r="D26" s="147" t="str">
        <x:v>Dermstore/Ulta</x:v>
      </x:c>
      <x:c r="E26" s="156" t="n">
        <x:v>0.15</x:v>
      </x:c>
      <x:c r="F26" s="153" t="n">
        <x:f>SUMIFS('Brand Repository'!$L$2:$L$35,'Brand Repository'!$B$2:$B$35,$A26,'Brand Repository'!$C$2:$C$35,$B26)</x:f>
        <x:v>71.92</x:v>
      </x:c>
      <x:c r="G26" s="153" t="n">
        <x:f>E26*F26</x:f>
        <x:v>10.788</x:v>
      </x:c>
      <x:c r="H26" s="148" t="str">
        <x:v>Modeled allocation; editable assumption, not retailer-reported.</x:v>
      </x:c>
    </x:row>
    <x:row r="27" ht="18" customHeight="1">
      <x:c r="A27" s="146" t="str">
        <x:v>USA</x:v>
      </x:c>
      <x:c r="B27" s="147" t="str">
        <x:v>FILORGA</x:v>
      </x:c>
      <x:c r="C27" s="147" t="str">
        <x:v>Skin Health</x:v>
      </x:c>
      <x:c r="D27" s="147" t="str">
        <x:v>Amazon</x:v>
      </x:c>
      <x:c r="E27" s="156" t="n">
        <x:v>0.15</x:v>
      </x:c>
      <x:c r="F27" s="153" t="n">
        <x:f>SUMIFS('Brand Repository'!$L$2:$L$35,'Brand Repository'!$B$2:$B$35,$A27,'Brand Repository'!$C$2:$C$35,$B27)</x:f>
        <x:v>71.92</x:v>
      </x:c>
      <x:c r="G27" s="153" t="n">
        <x:f>E27*F27</x:f>
        <x:v>10.788</x:v>
      </x:c>
      <x:c r="H27" s="148" t="str">
        <x:v>Modeled allocation; editable assumption, not retailer-reported.</x:v>
      </x:c>
    </x:row>
    <x:row r="28" ht="18" customHeight="1">
      <x:c r="A28" s="146" t="str">
        <x:v>USA</x:v>
      </x:c>
      <x:c r="B28" s="147" t="str">
        <x:v>FILORGA</x:v>
      </x:c>
      <x:c r="C28" s="147" t="str">
        <x:v>Skin Health</x:v>
      </x:c>
      <x:c r="D28" s="147" t="str">
        <x:v>Clinics</x:v>
      </x:c>
      <x:c r="E28" s="156" t="n">
        <x:v>0.15</x:v>
      </x:c>
      <x:c r="F28" s="153" t="n">
        <x:f>SUMIFS('Brand Repository'!$L$2:$L$35,'Brand Repository'!$B$2:$B$35,$A28,'Brand Repository'!$C$2:$C$35,$B28)</x:f>
        <x:v>71.92</x:v>
      </x:c>
      <x:c r="G28" s="153" t="n">
        <x:f>E28*F28</x:f>
        <x:v>10.788</x:v>
      </x:c>
      <x:c r="H28" s="148" t="str">
        <x:v>Modeled allocation; editable assumption, not retailer-reported.</x:v>
      </x:c>
    </x:row>
    <x:row r="29" ht="18" customHeight="1">
      <x:c r="A29" s="146" t="str">
        <x:v>USA</x:v>
      </x:c>
      <x:c r="B29" s="147" t="str">
        <x:v>FILORGA</x:v>
      </x:c>
      <x:c r="C29" s="147" t="str">
        <x:v>Skin Health</x:v>
      </x:c>
      <x:c r="D29" s="147" t="str">
        <x:v>Other</x:v>
      </x:c>
      <x:c r="E29" s="156" t="n">
        <x:v>0.1</x:v>
      </x:c>
      <x:c r="F29" s="153" t="n">
        <x:f>SUMIFS('Brand Repository'!$L$2:$L$35,'Brand Repository'!$B$2:$B$35,$A29,'Brand Repository'!$C$2:$C$35,$B29)</x:f>
        <x:v>71.92</x:v>
      </x:c>
      <x:c r="G29" s="153" t="n">
        <x:f>E29*F29</x:f>
        <x:v>7.192</x:v>
      </x:c>
      <x:c r="H29" s="148" t="str">
        <x:v>Modeled allocation; editable assumption, not retailer-reported.</x:v>
      </x:c>
    </x:row>
    <x:row r="30" ht="18" customHeight="1">
      <x:c r="A30" s="146" t="str">
        <x:v>USA</x:v>
      </x:c>
      <x:c r="B30" s="147" t="str">
        <x:v>hello</x:v>
      </x:c>
      <x:c r="C30" s="147" t="str">
        <x:v>Oral Care</x:v>
      </x:c>
      <x:c r="D30" s="147" t="str">
        <x:v>Walmart</x:v>
      </x:c>
      <x:c r="E30" s="156" t="n">
        <x:v>0.26</x:v>
      </x:c>
      <x:c r="F30" s="153" t="n">
        <x:f>SUMIFS('Brand Repository'!$L$2:$L$35,'Brand Repository'!$B$2:$B$35,$A30,'Brand Repository'!$C$2:$C$35,$B30)</x:f>
        <x:v>79.11200000000001</x:v>
      </x:c>
      <x:c r="G30" s="153" t="n">
        <x:f>E30*F30</x:f>
        <x:v>20.56912</x:v>
      </x:c>
      <x:c r="H30" s="148" t="str">
        <x:v>Modeled allocation; editable assumption, not retailer-reported.</x:v>
      </x:c>
    </x:row>
    <x:row r="31" ht="18" customHeight="1">
      <x:c r="A31" s="146" t="str">
        <x:v>USA</x:v>
      </x:c>
      <x:c r="B31" s="147" t="str">
        <x:v>hello</x:v>
      </x:c>
      <x:c r="C31" s="147" t="str">
        <x:v>Oral Care</x:v>
      </x:c>
      <x:c r="D31" s="147" t="str">
        <x:v>Amazon</x:v>
      </x:c>
      <x:c r="E31" s="156" t="n">
        <x:v>0.14</x:v>
      </x:c>
      <x:c r="F31" s="153" t="n">
        <x:f>SUMIFS('Brand Repository'!$L$2:$L$35,'Brand Repository'!$B$2:$B$35,$A31,'Brand Repository'!$C$2:$C$35,$B31)</x:f>
        <x:v>79.11200000000001</x:v>
      </x:c>
      <x:c r="G31" s="153" t="n">
        <x:f>E31*F31</x:f>
        <x:v>11.075680000000002</x:v>
      </x:c>
      <x:c r="H31" s="148" t="str">
        <x:v>Modeled allocation; editable assumption, not retailer-reported.</x:v>
      </x:c>
    </x:row>
    <x:row r="32" ht="18" customHeight="1">
      <x:c r="A32" s="146" t="str">
        <x:v>USA</x:v>
      </x:c>
      <x:c r="B32" s="147" t="str">
        <x:v>hello</x:v>
      </x:c>
      <x:c r="C32" s="147" t="str">
        <x:v>Oral Care</x:v>
      </x:c>
      <x:c r="D32" s="147" t="str">
        <x:v>Target</x:v>
      </x:c>
      <x:c r="E32" s="156" t="n">
        <x:v>0.12</x:v>
      </x:c>
      <x:c r="F32" s="153" t="n">
        <x:f>SUMIFS('Brand Repository'!$L$2:$L$35,'Brand Repository'!$B$2:$B$35,$A32,'Brand Repository'!$C$2:$C$35,$B32)</x:f>
        <x:v>79.11200000000001</x:v>
      </x:c>
      <x:c r="G32" s="153" t="n">
        <x:f>E32*F32</x:f>
        <x:v>9.493440000000001</x:v>
      </x:c>
      <x:c r="H32" s="148" t="str">
        <x:v>Modeled allocation; editable assumption, not retailer-reported.</x:v>
      </x:c>
    </x:row>
    <x:row r="33" ht="18" customHeight="1">
      <x:c r="A33" s="146" t="str">
        <x:v>USA</x:v>
      </x:c>
      <x:c r="B33" s="147" t="str">
        <x:v>hello</x:v>
      </x:c>
      <x:c r="C33" s="147" t="str">
        <x:v>Oral Care</x:v>
      </x:c>
      <x:c r="D33" s="147" t="str">
        <x:v>Club retailers</x:v>
      </x:c>
      <x:c r="E33" s="156" t="n">
        <x:v>0.08</x:v>
      </x:c>
      <x:c r="F33" s="153" t="n">
        <x:f>SUMIFS('Brand Repository'!$L$2:$L$35,'Brand Repository'!$B$2:$B$35,$A33,'Brand Repository'!$C$2:$C$35,$B33)</x:f>
        <x:v>79.11200000000001</x:v>
      </x:c>
      <x:c r="G33" s="153" t="n">
        <x:f>E33*F33</x:f>
        <x:v>6.328960000000001</x:v>
      </x:c>
      <x:c r="H33" s="148" t="str">
        <x:v>Modeled allocation; editable assumption, not retailer-reported.</x:v>
      </x:c>
    </x:row>
    <x:row r="34" ht="18" customHeight="1">
      <x:c r="A34" s="146" t="str">
        <x:v>USA</x:v>
      </x:c>
      <x:c r="B34" s="147" t="str">
        <x:v>hello</x:v>
      </x:c>
      <x:c r="C34" s="147" t="str">
        <x:v>Oral Care</x:v>
      </x:c>
      <x:c r="D34" s="147" t="str">
        <x:v>Drug/grocery</x:v>
      </x:c>
      <x:c r="E34" s="156" t="n">
        <x:v>0.14</x:v>
      </x:c>
      <x:c r="F34" s="153" t="n">
        <x:f>SUMIFS('Brand Repository'!$L$2:$L$35,'Brand Repository'!$B$2:$B$35,$A34,'Brand Repository'!$C$2:$C$35,$B34)</x:f>
        <x:v>79.11200000000001</x:v>
      </x:c>
      <x:c r="G34" s="153" t="n">
        <x:f>E34*F34</x:f>
        <x:v>11.075680000000002</x:v>
      </x:c>
      <x:c r="H34" s="148" t="str">
        <x:v>Modeled allocation; editable assumption, not retailer-reported.</x:v>
      </x:c>
    </x:row>
    <x:row r="35" ht="18" customHeight="1">
      <x:c r="A35" s="146" t="str">
        <x:v>USA</x:v>
      </x:c>
      <x:c r="B35" s="147" t="str">
        <x:v>hello</x:v>
      </x:c>
      <x:c r="C35" s="147" t="str">
        <x:v>Oral Care</x:v>
      </x:c>
      <x:c r="D35" s="147" t="str">
        <x:v>Other</x:v>
      </x:c>
      <x:c r="E35" s="156" t="n">
        <x:v>0.26</x:v>
      </x:c>
      <x:c r="F35" s="153" t="n">
        <x:f>SUMIFS('Brand Repository'!$L$2:$L$35,'Brand Repository'!$B$2:$B$35,$A35,'Brand Repository'!$C$2:$C$35,$B35)</x:f>
        <x:v>79.11200000000001</x:v>
      </x:c>
      <x:c r="G35" s="153" t="n">
        <x:f>E35*F35</x:f>
        <x:v>20.56912</x:v>
      </x:c>
      <x:c r="H35" s="148" t="str">
        <x:v>Modeled allocation; editable assumption, not retailer-reported.</x:v>
      </x:c>
    </x:row>
    <x:row r="36" ht="18" customHeight="1">
      <x:c r="A36" s="146" t="str">
        <x:v>USA</x:v>
      </x:c>
      <x:c r="B36" s="147" t="str">
        <x:v>Hill's Prescription Diet</x:v>
      </x:c>
      <x:c r="C36" s="147" t="str">
        <x:v>Pet Nutrition</x:v>
      </x:c>
      <x:c r="D36" s="147" t="str">
        <x:v>Chewy</x:v>
      </x:c>
      <x:c r="E36" s="156" t="n">
        <x:v>0.25</x:v>
      </x:c>
      <x:c r="F36" s="153" t="n">
        <x:f>SUMIFS('Brand Repository'!$L$2:$L$35,'Brand Repository'!$B$2:$B$35,$A36,'Brand Repository'!$C$2:$C$35,$B36)</x:f>
        <x:v>1071.7</x:v>
      </x:c>
      <x:c r="G36" s="153" t="n">
        <x:f>E36*F36</x:f>
        <x:v>267.925</x:v>
      </x:c>
      <x:c r="H36" s="148" t="str">
        <x:v>Modeled allocation; editable assumption, not retailer-reported.</x:v>
      </x:c>
    </x:row>
    <x:row r="37" ht="18" customHeight="1">
      <x:c r="A37" s="146" t="str">
        <x:v>USA</x:v>
      </x:c>
      <x:c r="B37" s="147" t="str">
        <x:v>Hill's Prescription Diet</x:v>
      </x:c>
      <x:c r="C37" s="147" t="str">
        <x:v>Pet Nutrition</x:v>
      </x:c>
      <x:c r="D37" s="147" t="str">
        <x:v>Veterinary clinics</x:v>
      </x:c>
      <x:c r="E37" s="156" t="n">
        <x:v>0.2</x:v>
      </x:c>
      <x:c r="F37" s="153" t="n">
        <x:f>SUMIFS('Brand Repository'!$L$2:$L$35,'Brand Repository'!$B$2:$B$35,$A37,'Brand Repository'!$C$2:$C$35,$B37)</x:f>
        <x:v>1071.7</x:v>
      </x:c>
      <x:c r="G37" s="153" t="n">
        <x:f>E37*F37</x:f>
        <x:v>214.34000000000003</x:v>
      </x:c>
      <x:c r="H37" s="148" t="str">
        <x:v>Modeled allocation; editable assumption, not retailer-reported.</x:v>
      </x:c>
    </x:row>
    <x:row r="38" ht="18" customHeight="1">
      <x:c r="A38" s="146" t="str">
        <x:v>USA</x:v>
      </x:c>
      <x:c r="B38" s="147" t="str">
        <x:v>Hill's Prescription Diet</x:v>
      </x:c>
      <x:c r="C38" s="147" t="str">
        <x:v>Pet Nutrition</x:v>
      </x:c>
      <x:c r="D38" s="147" t="str">
        <x:v>PetSmart</x:v>
      </x:c>
      <x:c r="E38" s="156" t="n">
        <x:v>0.18</x:v>
      </x:c>
      <x:c r="F38" s="153" t="n">
        <x:f>SUMIFS('Brand Repository'!$L$2:$L$35,'Brand Repository'!$B$2:$B$35,$A38,'Brand Repository'!$C$2:$C$35,$B38)</x:f>
        <x:v>1071.7</x:v>
      </x:c>
      <x:c r="G38" s="153" t="n">
        <x:f>E38*F38</x:f>
        <x:v>192.906</x:v>
      </x:c>
      <x:c r="H38" s="148" t="str">
        <x:v>Modeled allocation; editable assumption, not retailer-reported.</x:v>
      </x:c>
    </x:row>
    <x:row r="39" ht="18" customHeight="1">
      <x:c r="A39" s="146" t="str">
        <x:v>USA</x:v>
      </x:c>
      <x:c r="B39" s="147" t="str">
        <x:v>Hill's Prescription Diet</x:v>
      </x:c>
      <x:c r="C39" s="147" t="str">
        <x:v>Pet Nutrition</x:v>
      </x:c>
      <x:c r="D39" s="147" t="str">
        <x:v>Petco</x:v>
      </x:c>
      <x:c r="E39" s="156" t="n">
        <x:v>0.12</x:v>
      </x:c>
      <x:c r="F39" s="153" t="n">
        <x:f>SUMIFS('Brand Repository'!$L$2:$L$35,'Brand Repository'!$B$2:$B$35,$A39,'Brand Repository'!$C$2:$C$35,$B39)</x:f>
        <x:v>1071.7</x:v>
      </x:c>
      <x:c r="G39" s="153" t="n">
        <x:f>E39*F39</x:f>
        <x:v>128.604</x:v>
      </x:c>
      <x:c r="H39" s="148" t="str">
        <x:v>Modeled allocation; editable assumption, not retailer-reported.</x:v>
      </x:c>
    </x:row>
    <x:row r="40" ht="18" customHeight="1">
      <x:c r="A40" s="146" t="str">
        <x:v>USA</x:v>
      </x:c>
      <x:c r="B40" s="147" t="str">
        <x:v>Hill's Prescription Diet</x:v>
      </x:c>
      <x:c r="C40" s="147" t="str">
        <x:v>Pet Nutrition</x:v>
      </x:c>
      <x:c r="D40" s="147" t="str">
        <x:v>Amazon</x:v>
      </x:c>
      <x:c r="E40" s="156" t="n">
        <x:v>0.1</x:v>
      </x:c>
      <x:c r="F40" s="153" t="n">
        <x:f>SUMIFS('Brand Repository'!$L$2:$L$35,'Brand Repository'!$B$2:$B$35,$A40,'Brand Repository'!$C$2:$C$35,$B40)</x:f>
        <x:v>1071.7</x:v>
      </x:c>
      <x:c r="G40" s="153" t="n">
        <x:f>E40*F40</x:f>
        <x:v>107.17000000000002</x:v>
      </x:c>
      <x:c r="H40" s="148" t="str">
        <x:v>Modeled allocation; editable assumption, not retailer-reported.</x:v>
      </x:c>
    </x:row>
    <x:row r="41" ht="18" customHeight="1">
      <x:c r="A41" s="146" t="str">
        <x:v>USA</x:v>
      </x:c>
      <x:c r="B41" s="147" t="str">
        <x:v>Hill's Prescription Diet</x:v>
      </x:c>
      <x:c r="C41" s="147" t="str">
        <x:v>Pet Nutrition</x:v>
      </x:c>
      <x:c r="D41" s="147" t="str">
        <x:v>Other</x:v>
      </x:c>
      <x:c r="E41" s="156" t="n">
        <x:v>0.15</x:v>
      </x:c>
      <x:c r="F41" s="153" t="n">
        <x:f>SUMIFS('Brand Repository'!$L$2:$L$35,'Brand Repository'!$B$2:$B$35,$A41,'Brand Repository'!$C$2:$C$35,$B41)</x:f>
        <x:v>1071.7</x:v>
      </x:c>
      <x:c r="G41" s="153" t="n">
        <x:f>E41*F41</x:f>
        <x:v>160.755</x:v>
      </x:c>
      <x:c r="H41" s="148" t="str">
        <x:v>Modeled allocation; editable assumption, not retailer-reported.</x:v>
      </x:c>
    </x:row>
    <x:row r="42" ht="18" customHeight="1">
      <x:c r="A42" s="146" t="str">
        <x:v>USA</x:v>
      </x:c>
      <x:c r="B42" s="147" t="str">
        <x:v>Hill's Science Diet</x:v>
      </x:c>
      <x:c r="C42" s="147" t="str">
        <x:v>Pet Nutrition</x:v>
      </x:c>
      <x:c r="D42" s="147" t="str">
        <x:v>Chewy</x:v>
      </x:c>
      <x:c r="E42" s="156" t="n">
        <x:v>0.25</x:v>
      </x:c>
      <x:c r="F42" s="153" t="n">
        <x:f>SUMIFS('Brand Repository'!$L$2:$L$35,'Brand Repository'!$B$2:$B$35,$A42,'Brand Repository'!$C$2:$C$35,$B42)</x:f>
        <x:v>1990.3</x:v>
      </x:c>
      <x:c r="G42" s="153" t="n">
        <x:f>E42*F42</x:f>
        <x:v>497.575</x:v>
      </x:c>
      <x:c r="H42" s="148" t="str">
        <x:v>Modeled allocation; editable assumption, not retailer-reported.</x:v>
      </x:c>
    </x:row>
    <x:row r="43" ht="18" customHeight="1">
      <x:c r="A43" s="146" t="str">
        <x:v>USA</x:v>
      </x:c>
      <x:c r="B43" s="147" t="str">
        <x:v>Hill's Science Diet</x:v>
      </x:c>
      <x:c r="C43" s="147" t="str">
        <x:v>Pet Nutrition</x:v>
      </x:c>
      <x:c r="D43" s="147" t="str">
        <x:v>Veterinary clinics</x:v>
      </x:c>
      <x:c r="E43" s="156" t="n">
        <x:v>0.2</x:v>
      </x:c>
      <x:c r="F43" s="153" t="n">
        <x:f>SUMIFS('Brand Repository'!$L$2:$L$35,'Brand Repository'!$B$2:$B$35,$A43,'Brand Repository'!$C$2:$C$35,$B43)</x:f>
        <x:v>1990.3</x:v>
      </x:c>
      <x:c r="G43" s="153" t="n">
        <x:f>E43*F43</x:f>
        <x:v>398.06</x:v>
      </x:c>
      <x:c r="H43" s="148" t="str">
        <x:v>Modeled allocation; editable assumption, not retailer-reported.</x:v>
      </x:c>
    </x:row>
    <x:row r="44" ht="18" customHeight="1">
      <x:c r="A44" s="146" t="str">
        <x:v>USA</x:v>
      </x:c>
      <x:c r="B44" s="147" t="str">
        <x:v>Hill's Science Diet</x:v>
      </x:c>
      <x:c r="C44" s="147" t="str">
        <x:v>Pet Nutrition</x:v>
      </x:c>
      <x:c r="D44" s="147" t="str">
        <x:v>PetSmart</x:v>
      </x:c>
      <x:c r="E44" s="156" t="n">
        <x:v>0.18</x:v>
      </x:c>
      <x:c r="F44" s="153" t="n">
        <x:f>SUMIFS('Brand Repository'!$L$2:$L$35,'Brand Repository'!$B$2:$B$35,$A44,'Brand Repository'!$C$2:$C$35,$B44)</x:f>
        <x:v>1990.3</x:v>
      </x:c>
      <x:c r="G44" s="153" t="n">
        <x:f>E44*F44</x:f>
        <x:v>358.25399999999996</x:v>
      </x:c>
      <x:c r="H44" s="148" t="str">
        <x:v>Modeled allocation; editable assumption, not retailer-reported.</x:v>
      </x:c>
    </x:row>
    <x:row r="45" ht="18" customHeight="1">
      <x:c r="A45" s="146" t="str">
        <x:v>USA</x:v>
      </x:c>
      <x:c r="B45" s="147" t="str">
        <x:v>Hill's Science Diet</x:v>
      </x:c>
      <x:c r="C45" s="147" t="str">
        <x:v>Pet Nutrition</x:v>
      </x:c>
      <x:c r="D45" s="147" t="str">
        <x:v>Petco</x:v>
      </x:c>
      <x:c r="E45" s="156" t="n">
        <x:v>0.12</x:v>
      </x:c>
      <x:c r="F45" s="153" t="n">
        <x:f>SUMIFS('Brand Repository'!$L$2:$L$35,'Brand Repository'!$B$2:$B$35,$A45,'Brand Repository'!$C$2:$C$35,$B45)</x:f>
        <x:v>1990.3</x:v>
      </x:c>
      <x:c r="G45" s="153" t="n">
        <x:f>E45*F45</x:f>
        <x:v>238.83599999999998</x:v>
      </x:c>
      <x:c r="H45" s="148" t="str">
        <x:v>Modeled allocation; editable assumption, not retailer-reported.</x:v>
      </x:c>
    </x:row>
    <x:row r="46" ht="18" customHeight="1">
      <x:c r="A46" s="146" t="str">
        <x:v>USA</x:v>
      </x:c>
      <x:c r="B46" s="147" t="str">
        <x:v>Hill's Science Diet</x:v>
      </x:c>
      <x:c r="C46" s="147" t="str">
        <x:v>Pet Nutrition</x:v>
      </x:c>
      <x:c r="D46" s="147" t="str">
        <x:v>Amazon</x:v>
      </x:c>
      <x:c r="E46" s="156" t="n">
        <x:v>0.1</x:v>
      </x:c>
      <x:c r="F46" s="153" t="n">
        <x:f>SUMIFS('Brand Repository'!$L$2:$L$35,'Brand Repository'!$B$2:$B$35,$A46,'Brand Repository'!$C$2:$C$35,$B46)</x:f>
        <x:v>1990.3</x:v>
      </x:c>
      <x:c r="G46" s="153" t="n">
        <x:f>E46*F46</x:f>
        <x:v>199.03</x:v>
      </x:c>
      <x:c r="H46" s="148" t="str">
        <x:v>Modeled allocation; editable assumption, not retailer-reported.</x:v>
      </x:c>
    </x:row>
    <x:row r="47" ht="18" customHeight="1">
      <x:c r="A47" s="146" t="str">
        <x:v>USA</x:v>
      </x:c>
      <x:c r="B47" s="147" t="str">
        <x:v>Hill's Science Diet</x:v>
      </x:c>
      <x:c r="C47" s="147" t="str">
        <x:v>Pet Nutrition</x:v>
      </x:c>
      <x:c r="D47" s="147" t="str">
        <x:v>Other</x:v>
      </x:c>
      <x:c r="E47" s="156" t="n">
        <x:v>0.15</x:v>
      </x:c>
      <x:c r="F47" s="153" t="n">
        <x:f>SUMIFS('Brand Repository'!$L$2:$L$35,'Brand Repository'!$B$2:$B$35,$A47,'Brand Repository'!$C$2:$C$35,$B47)</x:f>
        <x:v>1990.3</x:v>
      </x:c>
      <x:c r="G47" s="153" t="n">
        <x:f>E47*F47</x:f>
        <x:v>298.54499999999996</x:v>
      </x:c>
      <x:c r="H47" s="148" t="str">
        <x:v>Modeled allocation; editable assumption, not retailer-reported.</x:v>
      </x:c>
    </x:row>
    <x:row r="48" ht="18" customHeight="1">
      <x:c r="A48" s="146" t="str">
        <x:v>USA</x:v>
      </x:c>
      <x:c r="B48" s="147" t="str">
        <x:v>Irish Spring</x:v>
      </x:c>
      <x:c r="C48" s="147" t="str">
        <x:v>Personal Care</x:v>
      </x:c>
      <x:c r="D48" s="147" t="str">
        <x:v>Walmart</x:v>
      </x:c>
      <x:c r="E48" s="156" t="n">
        <x:v>0.26</x:v>
      </x:c>
      <x:c r="F48" s="153" t="n">
        <x:f>SUMIFS('Brand Repository'!$L$2:$L$35,'Brand Repository'!$B$2:$B$35,$A48,'Brand Repository'!$C$2:$C$35,$B48)</x:f>
        <x:v>215.76</x:v>
      </x:c>
      <x:c r="G48" s="153" t="n">
        <x:f>E48*F48</x:f>
        <x:v>56.0976</x:v>
      </x:c>
      <x:c r="H48" s="148" t="str">
        <x:v>Modeled allocation; editable assumption, not retailer-reported.</x:v>
      </x:c>
    </x:row>
    <x:row r="49" ht="18" customHeight="1">
      <x:c r="A49" s="146" t="str">
        <x:v>USA</x:v>
      </x:c>
      <x:c r="B49" s="147" t="str">
        <x:v>Irish Spring</x:v>
      </x:c>
      <x:c r="C49" s="147" t="str">
        <x:v>Personal Care</x:v>
      </x:c>
      <x:c r="D49" s="147" t="str">
        <x:v>Amazon</x:v>
      </x:c>
      <x:c r="E49" s="156" t="n">
        <x:v>0.14</x:v>
      </x:c>
      <x:c r="F49" s="153" t="n">
        <x:f>SUMIFS('Brand Repository'!$L$2:$L$35,'Brand Repository'!$B$2:$B$35,$A49,'Brand Repository'!$C$2:$C$35,$B49)</x:f>
        <x:v>215.76</x:v>
      </x:c>
      <x:c r="G49" s="153" t="n">
        <x:f>E49*F49</x:f>
        <x:v>30.206400000000002</x:v>
      </x:c>
      <x:c r="H49" s="148" t="str">
        <x:v>Modeled allocation; editable assumption, not retailer-reported.</x:v>
      </x:c>
    </x:row>
    <x:row r="50" ht="18" customHeight="1">
      <x:c r="A50" s="146" t="str">
        <x:v>USA</x:v>
      </x:c>
      <x:c r="B50" s="147" t="str">
        <x:v>Irish Spring</x:v>
      </x:c>
      <x:c r="C50" s="147" t="str">
        <x:v>Personal Care</x:v>
      </x:c>
      <x:c r="D50" s="147" t="str">
        <x:v>Target</x:v>
      </x:c>
      <x:c r="E50" s="156" t="n">
        <x:v>0.12</x:v>
      </x:c>
      <x:c r="F50" s="153" t="n">
        <x:f>SUMIFS('Brand Repository'!$L$2:$L$35,'Brand Repository'!$B$2:$B$35,$A50,'Brand Repository'!$C$2:$C$35,$B50)</x:f>
        <x:v>215.76</x:v>
      </x:c>
      <x:c r="G50" s="153" t="n">
        <x:f>E50*F50</x:f>
        <x:v>25.891199999999998</x:v>
      </x:c>
      <x:c r="H50" s="148" t="str">
        <x:v>Modeled allocation; editable assumption, not retailer-reported.</x:v>
      </x:c>
    </x:row>
    <x:row r="51" ht="18" customHeight="1">
      <x:c r="A51" s="146" t="str">
        <x:v>USA</x:v>
      </x:c>
      <x:c r="B51" s="147" t="str">
        <x:v>Irish Spring</x:v>
      </x:c>
      <x:c r="C51" s="147" t="str">
        <x:v>Personal Care</x:v>
      </x:c>
      <x:c r="D51" s="147" t="str">
        <x:v>Club retailers</x:v>
      </x:c>
      <x:c r="E51" s="156" t="n">
        <x:v>0.08</x:v>
      </x:c>
      <x:c r="F51" s="153" t="n">
        <x:f>SUMIFS('Brand Repository'!$L$2:$L$35,'Brand Repository'!$B$2:$B$35,$A51,'Brand Repository'!$C$2:$C$35,$B51)</x:f>
        <x:v>215.76</x:v>
      </x:c>
      <x:c r="G51" s="153" t="n">
        <x:f>E51*F51</x:f>
        <x:v>17.2608</x:v>
      </x:c>
      <x:c r="H51" s="148" t="str">
        <x:v>Modeled allocation; editable assumption, not retailer-reported.</x:v>
      </x:c>
    </x:row>
    <x:row r="52" ht="18" customHeight="1">
      <x:c r="A52" s="146" t="str">
        <x:v>USA</x:v>
      </x:c>
      <x:c r="B52" s="147" t="str">
        <x:v>Irish Spring</x:v>
      </x:c>
      <x:c r="C52" s="147" t="str">
        <x:v>Personal Care</x:v>
      </x:c>
      <x:c r="D52" s="147" t="str">
        <x:v>Drug/grocery</x:v>
      </x:c>
      <x:c r="E52" s="156" t="n">
        <x:v>0.14</x:v>
      </x:c>
      <x:c r="F52" s="153" t="n">
        <x:f>SUMIFS('Brand Repository'!$L$2:$L$35,'Brand Repository'!$B$2:$B$35,$A52,'Brand Repository'!$C$2:$C$35,$B52)</x:f>
        <x:v>215.76</x:v>
      </x:c>
      <x:c r="G52" s="153" t="n">
        <x:f>E52*F52</x:f>
        <x:v>30.206400000000002</x:v>
      </x:c>
      <x:c r="H52" s="148" t="str">
        <x:v>Modeled allocation; editable assumption, not retailer-reported.</x:v>
      </x:c>
    </x:row>
    <x:row r="53" ht="18" customHeight="1">
      <x:c r="A53" s="146" t="str">
        <x:v>USA</x:v>
      </x:c>
      <x:c r="B53" s="147" t="str">
        <x:v>Irish Spring</x:v>
      </x:c>
      <x:c r="C53" s="147" t="str">
        <x:v>Personal Care</x:v>
      </x:c>
      <x:c r="D53" s="147" t="str">
        <x:v>Other</x:v>
      </x:c>
      <x:c r="E53" s="156" t="n">
        <x:v>0.26</x:v>
      </x:c>
      <x:c r="F53" s="153" t="n">
        <x:f>SUMIFS('Brand Repository'!$L$2:$L$35,'Brand Repository'!$B$2:$B$35,$A53,'Brand Repository'!$C$2:$C$35,$B53)</x:f>
        <x:v>215.76</x:v>
      </x:c>
      <x:c r="G53" s="153" t="n">
        <x:f>E53*F53</x:f>
        <x:v>56.0976</x:v>
      </x:c>
      <x:c r="H53" s="148" t="str">
        <x:v>Modeled allocation; editable assumption, not retailer-reported.</x:v>
      </x:c>
    </x:row>
    <x:row r="54" ht="18" customHeight="1">
      <x:c r="A54" s="146" t="str">
        <x:v>USA</x:v>
      </x:c>
      <x:c r="B54" s="147" t="str">
        <x:v>Lady Speed Stick</x:v>
      </x:c>
      <x:c r="C54" s="147" t="str">
        <x:v>Personal Care</x:v>
      </x:c>
      <x:c r="D54" s="147" t="str">
        <x:v>Walmart</x:v>
      </x:c>
      <x:c r="E54" s="156" t="n">
        <x:v>0.26</x:v>
      </x:c>
      <x:c r="F54" s="153" t="n">
        <x:f>SUMIFS('Brand Repository'!$L$2:$L$35,'Brand Repository'!$B$2:$B$35,$A54,'Brand Repository'!$C$2:$C$35,$B54)</x:f>
        <x:v>35.96</x:v>
      </x:c>
      <x:c r="G54" s="153" t="n">
        <x:f>E54*F54</x:f>
        <x:v>9.3496</x:v>
      </x:c>
      <x:c r="H54" s="148" t="str">
        <x:v>Modeled allocation; editable assumption, not retailer-reported.</x:v>
      </x:c>
    </x:row>
    <x:row r="55" ht="18" customHeight="1">
      <x:c r="A55" s="146" t="str">
        <x:v>USA</x:v>
      </x:c>
      <x:c r="B55" s="147" t="str">
        <x:v>Lady Speed Stick</x:v>
      </x:c>
      <x:c r="C55" s="147" t="str">
        <x:v>Personal Care</x:v>
      </x:c>
      <x:c r="D55" s="147" t="str">
        <x:v>Amazon</x:v>
      </x:c>
      <x:c r="E55" s="156" t="n">
        <x:v>0.14</x:v>
      </x:c>
      <x:c r="F55" s="153" t="n">
        <x:f>SUMIFS('Brand Repository'!$L$2:$L$35,'Brand Repository'!$B$2:$B$35,$A55,'Brand Repository'!$C$2:$C$35,$B55)</x:f>
        <x:v>35.96</x:v>
      </x:c>
      <x:c r="G55" s="153" t="n">
        <x:f>E55*F55</x:f>
        <x:v>5.034400000000001</x:v>
      </x:c>
      <x:c r="H55" s="148" t="str">
        <x:v>Modeled allocation; editable assumption, not retailer-reported.</x:v>
      </x:c>
    </x:row>
    <x:row r="56" ht="18" customHeight="1">
      <x:c r="A56" s="146" t="str">
        <x:v>USA</x:v>
      </x:c>
      <x:c r="B56" s="147" t="str">
        <x:v>Lady Speed Stick</x:v>
      </x:c>
      <x:c r="C56" s="147" t="str">
        <x:v>Personal Care</x:v>
      </x:c>
      <x:c r="D56" s="147" t="str">
        <x:v>Target</x:v>
      </x:c>
      <x:c r="E56" s="156" t="n">
        <x:v>0.12</x:v>
      </x:c>
      <x:c r="F56" s="153" t="n">
        <x:f>SUMIFS('Brand Repository'!$L$2:$L$35,'Brand Repository'!$B$2:$B$35,$A56,'Brand Repository'!$C$2:$C$35,$B56)</x:f>
        <x:v>35.96</x:v>
      </x:c>
      <x:c r="G56" s="153" t="n">
        <x:f>E56*F56</x:f>
        <x:v>4.3152</x:v>
      </x:c>
      <x:c r="H56" s="148" t="str">
        <x:v>Modeled allocation; editable assumption, not retailer-reported.</x:v>
      </x:c>
    </x:row>
    <x:row r="57" ht="18" customHeight="1">
      <x:c r="A57" s="146" t="str">
        <x:v>USA</x:v>
      </x:c>
      <x:c r="B57" s="147" t="str">
        <x:v>Lady Speed Stick</x:v>
      </x:c>
      <x:c r="C57" s="147" t="str">
        <x:v>Personal Care</x:v>
      </x:c>
      <x:c r="D57" s="147" t="str">
        <x:v>Club retailers</x:v>
      </x:c>
      <x:c r="E57" s="156" t="n">
        <x:v>0.08</x:v>
      </x:c>
      <x:c r="F57" s="153" t="n">
        <x:f>SUMIFS('Brand Repository'!$L$2:$L$35,'Brand Repository'!$B$2:$B$35,$A57,'Brand Repository'!$C$2:$C$35,$B57)</x:f>
        <x:v>35.96</x:v>
      </x:c>
      <x:c r="G57" s="153" t="n">
        <x:f>E57*F57</x:f>
        <x:v>2.8768000000000002</x:v>
      </x:c>
      <x:c r="H57" s="148" t="str">
        <x:v>Modeled allocation; editable assumption, not retailer-reported.</x:v>
      </x:c>
    </x:row>
    <x:row r="58" ht="18" customHeight="1">
      <x:c r="A58" s="146" t="str">
        <x:v>USA</x:v>
      </x:c>
      <x:c r="B58" s="147" t="str">
        <x:v>Lady Speed Stick</x:v>
      </x:c>
      <x:c r="C58" s="147" t="str">
        <x:v>Personal Care</x:v>
      </x:c>
      <x:c r="D58" s="147" t="str">
        <x:v>Drug/grocery</x:v>
      </x:c>
      <x:c r="E58" s="156" t="n">
        <x:v>0.14</x:v>
      </x:c>
      <x:c r="F58" s="153" t="n">
        <x:f>SUMIFS('Brand Repository'!$L$2:$L$35,'Brand Repository'!$B$2:$B$35,$A58,'Brand Repository'!$C$2:$C$35,$B58)</x:f>
        <x:v>35.96</x:v>
      </x:c>
      <x:c r="G58" s="153" t="n">
        <x:f>E58*F58</x:f>
        <x:v>5.034400000000001</x:v>
      </x:c>
      <x:c r="H58" s="148" t="str">
        <x:v>Modeled allocation; editable assumption, not retailer-reported.</x:v>
      </x:c>
    </x:row>
    <x:row r="59" ht="18" customHeight="1">
      <x:c r="A59" s="146" t="str">
        <x:v>USA</x:v>
      </x:c>
      <x:c r="B59" s="147" t="str">
        <x:v>Lady Speed Stick</x:v>
      </x:c>
      <x:c r="C59" s="147" t="str">
        <x:v>Personal Care</x:v>
      </x:c>
      <x:c r="D59" s="147" t="str">
        <x:v>Other</x:v>
      </x:c>
      <x:c r="E59" s="156" t="n">
        <x:v>0.26</x:v>
      </x:c>
      <x:c r="F59" s="153" t="n">
        <x:f>SUMIFS('Brand Repository'!$L$2:$L$35,'Brand Repository'!$B$2:$B$35,$A59,'Brand Repository'!$C$2:$C$35,$B59)</x:f>
        <x:v>35.96</x:v>
      </x:c>
      <x:c r="G59" s="153" t="n">
        <x:f>E59*F59</x:f>
        <x:v>9.3496</x:v>
      </x:c>
      <x:c r="H59" s="148" t="str">
        <x:v>Modeled allocation; editable assumption, not retailer-reported.</x:v>
      </x:c>
    </x:row>
    <x:row r="60" ht="18" customHeight="1">
      <x:c r="A60" s="146" t="str">
        <x:v>USA</x:v>
      </x:c>
      <x:c r="B60" s="147" t="str">
        <x:v>Murphy Oil Soap</x:v>
      </x:c>
      <x:c r="C60" s="147" t="str">
        <x:v>Home Care</x:v>
      </x:c>
      <x:c r="D60" s="147" t="str">
        <x:v>Walmart</x:v>
      </x:c>
      <x:c r="E60" s="156" t="n">
        <x:v>0.26</x:v>
      </x:c>
      <x:c r="F60" s="153" t="n">
        <x:f>SUMIFS('Brand Repository'!$L$2:$L$35,'Brand Repository'!$B$2:$B$35,$A60,'Brand Repository'!$C$2:$C$35,$B60)</x:f>
        <x:v>53.94</x:v>
      </x:c>
      <x:c r="G60" s="153" t="n">
        <x:f>E60*F60</x:f>
        <x:v>14.0244</x:v>
      </x:c>
      <x:c r="H60" s="148" t="str">
        <x:v>Modeled allocation; editable assumption, not retailer-reported.</x:v>
      </x:c>
    </x:row>
    <x:row r="61" ht="18" customHeight="1">
      <x:c r="A61" s="146" t="str">
        <x:v>USA</x:v>
      </x:c>
      <x:c r="B61" s="147" t="str">
        <x:v>Murphy Oil Soap</x:v>
      </x:c>
      <x:c r="C61" s="147" t="str">
        <x:v>Home Care</x:v>
      </x:c>
      <x:c r="D61" s="147" t="str">
        <x:v>Amazon</x:v>
      </x:c>
      <x:c r="E61" s="156" t="n">
        <x:v>0.14</x:v>
      </x:c>
      <x:c r="F61" s="153" t="n">
        <x:f>SUMIFS('Brand Repository'!$L$2:$L$35,'Brand Repository'!$B$2:$B$35,$A61,'Brand Repository'!$C$2:$C$35,$B61)</x:f>
        <x:v>53.94</x:v>
      </x:c>
      <x:c r="G61" s="153" t="n">
        <x:f>E61*F61</x:f>
        <x:v>7.5516000000000005</x:v>
      </x:c>
      <x:c r="H61" s="148" t="str">
        <x:v>Modeled allocation; editable assumption, not retailer-reported.</x:v>
      </x:c>
    </x:row>
    <x:row r="62" ht="18" customHeight="1">
      <x:c r="A62" s="146" t="str">
        <x:v>USA</x:v>
      </x:c>
      <x:c r="B62" s="147" t="str">
        <x:v>Murphy Oil Soap</x:v>
      </x:c>
      <x:c r="C62" s="147" t="str">
        <x:v>Home Care</x:v>
      </x:c>
      <x:c r="D62" s="147" t="str">
        <x:v>Target</x:v>
      </x:c>
      <x:c r="E62" s="156" t="n">
        <x:v>0.12</x:v>
      </x:c>
      <x:c r="F62" s="153" t="n">
        <x:f>SUMIFS('Brand Repository'!$L$2:$L$35,'Brand Repository'!$B$2:$B$35,$A62,'Brand Repository'!$C$2:$C$35,$B62)</x:f>
        <x:v>53.94</x:v>
      </x:c>
      <x:c r="G62" s="153" t="n">
        <x:f>E62*F62</x:f>
        <x:v>6.472799999999999</x:v>
      </x:c>
      <x:c r="H62" s="148" t="str">
        <x:v>Modeled allocation; editable assumption, not retailer-reported.</x:v>
      </x:c>
    </x:row>
    <x:row r="63" ht="18" customHeight="1">
      <x:c r="A63" s="146" t="str">
        <x:v>USA</x:v>
      </x:c>
      <x:c r="B63" s="147" t="str">
        <x:v>Murphy Oil Soap</x:v>
      </x:c>
      <x:c r="C63" s="147" t="str">
        <x:v>Home Care</x:v>
      </x:c>
      <x:c r="D63" s="147" t="str">
        <x:v>Club retailers</x:v>
      </x:c>
      <x:c r="E63" s="156" t="n">
        <x:v>0.08</x:v>
      </x:c>
      <x:c r="F63" s="153" t="n">
        <x:f>SUMIFS('Brand Repository'!$L$2:$L$35,'Brand Repository'!$B$2:$B$35,$A63,'Brand Repository'!$C$2:$C$35,$B63)</x:f>
        <x:v>53.94</x:v>
      </x:c>
      <x:c r="G63" s="153" t="n">
        <x:f>E63*F63</x:f>
        <x:v>4.3152</x:v>
      </x:c>
      <x:c r="H63" s="148" t="str">
        <x:v>Modeled allocation; editable assumption, not retailer-reported.</x:v>
      </x:c>
    </x:row>
    <x:row r="64" ht="18" customHeight="1">
      <x:c r="A64" s="146" t="str">
        <x:v>USA</x:v>
      </x:c>
      <x:c r="B64" s="147" t="str">
        <x:v>Murphy Oil Soap</x:v>
      </x:c>
      <x:c r="C64" s="147" t="str">
        <x:v>Home Care</x:v>
      </x:c>
      <x:c r="D64" s="147" t="str">
        <x:v>Drug/grocery</x:v>
      </x:c>
      <x:c r="E64" s="156" t="n">
        <x:v>0.14</x:v>
      </x:c>
      <x:c r="F64" s="153" t="n">
        <x:f>SUMIFS('Brand Repository'!$L$2:$L$35,'Brand Repository'!$B$2:$B$35,$A64,'Brand Repository'!$C$2:$C$35,$B64)</x:f>
        <x:v>53.94</x:v>
      </x:c>
      <x:c r="G64" s="153" t="n">
        <x:f>E64*F64</x:f>
        <x:v>7.5516000000000005</x:v>
      </x:c>
      <x:c r="H64" s="148" t="str">
        <x:v>Modeled allocation; editable assumption, not retailer-reported.</x:v>
      </x:c>
    </x:row>
    <x:row r="65" ht="18" customHeight="1">
      <x:c r="A65" s="146" t="str">
        <x:v>USA</x:v>
      </x:c>
      <x:c r="B65" s="147" t="str">
        <x:v>Murphy Oil Soap</x:v>
      </x:c>
      <x:c r="C65" s="147" t="str">
        <x:v>Home Care</x:v>
      </x:c>
      <x:c r="D65" s="147" t="str">
        <x:v>Other</x:v>
      </x:c>
      <x:c r="E65" s="156" t="n">
        <x:v>0.26</x:v>
      </x:c>
      <x:c r="F65" s="153" t="n">
        <x:f>SUMIFS('Brand Repository'!$L$2:$L$35,'Brand Repository'!$B$2:$B$35,$A65,'Brand Repository'!$C$2:$C$35,$B65)</x:f>
        <x:v>53.94</x:v>
      </x:c>
      <x:c r="G65" s="153" t="n">
        <x:f>E65*F65</x:f>
        <x:v>14.0244</x:v>
      </x:c>
      <x:c r="H65" s="148" t="str">
        <x:v>Modeled allocation; editable assumption, not retailer-reported.</x:v>
      </x:c>
    </x:row>
    <x:row r="66" ht="18" customHeight="1">
      <x:c r="A66" s="146" t="str">
        <x:v>USA</x:v>
      </x:c>
      <x:c r="B66" s="147" t="str">
        <x:v>Palmolive</x:v>
      </x:c>
      <x:c r="C66" s="147" t="str">
        <x:v>Home Care</x:v>
      </x:c>
      <x:c r="D66" s="147" t="str">
        <x:v>Walmart</x:v>
      </x:c>
      <x:c r="E66" s="156" t="n">
        <x:v>0.26</x:v>
      </x:c>
      <x:c r="F66" s="153" t="n">
        <x:f>SUMIFS('Brand Repository'!$L$2:$L$35,'Brand Repository'!$B$2:$B$35,$A66,'Brand Repository'!$C$2:$C$35,$B66)</x:f>
        <x:v>215.76</x:v>
      </x:c>
      <x:c r="G66" s="153" t="n">
        <x:f>E66*F66</x:f>
        <x:v>56.0976</x:v>
      </x:c>
      <x:c r="H66" s="148" t="str">
        <x:v>Modeled allocation; editable assumption, not retailer-reported.</x:v>
      </x:c>
    </x:row>
    <x:row r="67" ht="18" customHeight="1">
      <x:c r="A67" s="146" t="str">
        <x:v>USA</x:v>
      </x:c>
      <x:c r="B67" s="147" t="str">
        <x:v>Palmolive</x:v>
      </x:c>
      <x:c r="C67" s="147" t="str">
        <x:v>Home Care</x:v>
      </x:c>
      <x:c r="D67" s="147" t="str">
        <x:v>Amazon</x:v>
      </x:c>
      <x:c r="E67" s="156" t="n">
        <x:v>0.14</x:v>
      </x:c>
      <x:c r="F67" s="153" t="n">
        <x:f>SUMIFS('Brand Repository'!$L$2:$L$35,'Brand Repository'!$B$2:$B$35,$A67,'Brand Repository'!$C$2:$C$35,$B67)</x:f>
        <x:v>215.76</x:v>
      </x:c>
      <x:c r="G67" s="153" t="n">
        <x:f>E67*F67</x:f>
        <x:v>30.206400000000002</x:v>
      </x:c>
      <x:c r="H67" s="148" t="str">
        <x:v>Modeled allocation; editable assumption, not retailer-reported.</x:v>
      </x:c>
    </x:row>
    <x:row r="68" ht="18" customHeight="1">
      <x:c r="A68" s="146" t="str">
        <x:v>USA</x:v>
      </x:c>
      <x:c r="B68" s="147" t="str">
        <x:v>Palmolive</x:v>
      </x:c>
      <x:c r="C68" s="147" t="str">
        <x:v>Home Care</x:v>
      </x:c>
      <x:c r="D68" s="147" t="str">
        <x:v>Target</x:v>
      </x:c>
      <x:c r="E68" s="156" t="n">
        <x:v>0.12</x:v>
      </x:c>
      <x:c r="F68" s="153" t="n">
        <x:f>SUMIFS('Brand Repository'!$L$2:$L$35,'Brand Repository'!$B$2:$B$35,$A68,'Brand Repository'!$C$2:$C$35,$B68)</x:f>
        <x:v>215.76</x:v>
      </x:c>
      <x:c r="G68" s="153" t="n">
        <x:f>E68*F68</x:f>
        <x:v>25.891199999999998</x:v>
      </x:c>
      <x:c r="H68" s="148" t="str">
        <x:v>Modeled allocation; editable assumption, not retailer-reported.</x:v>
      </x:c>
    </x:row>
    <x:row r="69" ht="18" customHeight="1">
      <x:c r="A69" s="146" t="str">
        <x:v>USA</x:v>
      </x:c>
      <x:c r="B69" s="147" t="str">
        <x:v>Palmolive</x:v>
      </x:c>
      <x:c r="C69" s="147" t="str">
        <x:v>Home Care</x:v>
      </x:c>
      <x:c r="D69" s="147" t="str">
        <x:v>Club retailers</x:v>
      </x:c>
      <x:c r="E69" s="156" t="n">
        <x:v>0.08</x:v>
      </x:c>
      <x:c r="F69" s="153" t="n">
        <x:f>SUMIFS('Brand Repository'!$L$2:$L$35,'Brand Repository'!$B$2:$B$35,$A69,'Brand Repository'!$C$2:$C$35,$B69)</x:f>
        <x:v>215.76</x:v>
      </x:c>
      <x:c r="G69" s="153" t="n">
        <x:f>E69*F69</x:f>
        <x:v>17.2608</x:v>
      </x:c>
      <x:c r="H69" s="148" t="str">
        <x:v>Modeled allocation; editable assumption, not retailer-reported.</x:v>
      </x:c>
    </x:row>
    <x:row r="70" ht="18" customHeight="1">
      <x:c r="A70" s="146" t="str">
        <x:v>USA</x:v>
      </x:c>
      <x:c r="B70" s="147" t="str">
        <x:v>Palmolive</x:v>
      </x:c>
      <x:c r="C70" s="147" t="str">
        <x:v>Home Care</x:v>
      </x:c>
      <x:c r="D70" s="147" t="str">
        <x:v>Drug/grocery</x:v>
      </x:c>
      <x:c r="E70" s="156" t="n">
        <x:v>0.14</x:v>
      </x:c>
      <x:c r="F70" s="153" t="n">
        <x:f>SUMIFS('Brand Repository'!$L$2:$L$35,'Brand Repository'!$B$2:$B$35,$A70,'Brand Repository'!$C$2:$C$35,$B70)</x:f>
        <x:v>215.76</x:v>
      </x:c>
      <x:c r="G70" s="153" t="n">
        <x:f>E70*F70</x:f>
        <x:v>30.206400000000002</x:v>
      </x:c>
      <x:c r="H70" s="148" t="str">
        <x:v>Modeled allocation; editable assumption, not retailer-reported.</x:v>
      </x:c>
    </x:row>
    <x:row r="71" ht="18" customHeight="1">
      <x:c r="A71" s="146" t="str">
        <x:v>USA</x:v>
      </x:c>
      <x:c r="B71" s="147" t="str">
        <x:v>Palmolive</x:v>
      </x:c>
      <x:c r="C71" s="147" t="str">
        <x:v>Home Care</x:v>
      </x:c>
      <x:c r="D71" s="147" t="str">
        <x:v>Other</x:v>
      </x:c>
      <x:c r="E71" s="156" t="n">
        <x:v>0.26</x:v>
      </x:c>
      <x:c r="F71" s="153" t="n">
        <x:f>SUMIFS('Brand Repository'!$L$2:$L$35,'Brand Repository'!$B$2:$B$35,$A71,'Brand Repository'!$C$2:$C$35,$B71)</x:f>
        <x:v>215.76</x:v>
      </x:c>
      <x:c r="G71" s="153" t="n">
        <x:f>E71*F71</x:f>
        <x:v>56.0976</x:v>
      </x:c>
      <x:c r="H71" s="148" t="str">
        <x:v>Modeled allocation; editable assumption, not retailer-reported.</x:v>
      </x:c>
    </x:row>
    <x:row r="72" ht="18" customHeight="1">
      <x:c r="A72" s="146" t="str">
        <x:v>USA</x:v>
      </x:c>
      <x:c r="B72" s="147" t="str">
        <x:v>PCA SKIN</x:v>
      </x:c>
      <x:c r="C72" s="147" t="str">
        <x:v>Skin Health</x:v>
      </x:c>
      <x:c r="D72" s="147" t="str">
        <x:v>Professional/DTC</x:v>
      </x:c>
      <x:c r="E72" s="156" t="n">
        <x:v>0.45</x:v>
      </x:c>
      <x:c r="F72" s="153" t="n">
        <x:f>SUMIFS('Brand Repository'!$L$2:$L$35,'Brand Repository'!$B$2:$B$35,$A72,'Brand Repository'!$C$2:$C$35,$B72)</x:f>
        <x:v>125.86000000000001</x:v>
      </x:c>
      <x:c r="G72" s="153" t="n">
        <x:f>E72*F72</x:f>
        <x:v>56.63700000000001</x:v>
      </x:c>
      <x:c r="H72" s="148" t="str">
        <x:v>Modeled allocation; editable assumption, not retailer-reported.</x:v>
      </x:c>
    </x:row>
    <x:row r="73" ht="18" customHeight="1">
      <x:c r="A73" s="146" t="str">
        <x:v>USA</x:v>
      </x:c>
      <x:c r="B73" s="147" t="str">
        <x:v>PCA SKIN</x:v>
      </x:c>
      <x:c r="C73" s="147" t="str">
        <x:v>Skin Health</x:v>
      </x:c>
      <x:c r="D73" s="147" t="str">
        <x:v>Dermstore/Ulta</x:v>
      </x:c>
      <x:c r="E73" s="156" t="n">
        <x:v>0.15</x:v>
      </x:c>
      <x:c r="F73" s="153" t="n">
        <x:f>SUMIFS('Brand Repository'!$L$2:$L$35,'Brand Repository'!$B$2:$B$35,$A73,'Brand Repository'!$C$2:$C$35,$B73)</x:f>
        <x:v>125.86000000000001</x:v>
      </x:c>
      <x:c r="G73" s="153" t="n">
        <x:f>E73*F73</x:f>
        <x:v>18.879</x:v>
      </x:c>
      <x:c r="H73" s="148" t="str">
        <x:v>Modeled allocation; editable assumption, not retailer-reported.</x:v>
      </x:c>
    </x:row>
    <x:row r="74" ht="18" customHeight="1">
      <x:c r="A74" s="146" t="str">
        <x:v>USA</x:v>
      </x:c>
      <x:c r="B74" s="147" t="str">
        <x:v>PCA SKIN</x:v>
      </x:c>
      <x:c r="C74" s="147" t="str">
        <x:v>Skin Health</x:v>
      </x:c>
      <x:c r="D74" s="147" t="str">
        <x:v>Amazon</x:v>
      </x:c>
      <x:c r="E74" s="156" t="n">
        <x:v>0.15</x:v>
      </x:c>
      <x:c r="F74" s="153" t="n">
        <x:f>SUMIFS('Brand Repository'!$L$2:$L$35,'Brand Repository'!$B$2:$B$35,$A74,'Brand Repository'!$C$2:$C$35,$B74)</x:f>
        <x:v>125.86000000000001</x:v>
      </x:c>
      <x:c r="G74" s="153" t="n">
        <x:f>E74*F74</x:f>
        <x:v>18.879</x:v>
      </x:c>
      <x:c r="H74" s="148" t="str">
        <x:v>Modeled allocation; editable assumption, not retailer-reported.</x:v>
      </x:c>
    </x:row>
    <x:row r="75" ht="18" customHeight="1">
      <x:c r="A75" s="146" t="str">
        <x:v>USA</x:v>
      </x:c>
      <x:c r="B75" s="147" t="str">
        <x:v>PCA SKIN</x:v>
      </x:c>
      <x:c r="C75" s="147" t="str">
        <x:v>Skin Health</x:v>
      </x:c>
      <x:c r="D75" s="147" t="str">
        <x:v>Clinics</x:v>
      </x:c>
      <x:c r="E75" s="156" t="n">
        <x:v>0.15</x:v>
      </x:c>
      <x:c r="F75" s="153" t="n">
        <x:f>SUMIFS('Brand Repository'!$L$2:$L$35,'Brand Repository'!$B$2:$B$35,$A75,'Brand Repository'!$C$2:$C$35,$B75)</x:f>
        <x:v>125.86000000000001</x:v>
      </x:c>
      <x:c r="G75" s="153" t="n">
        <x:f>E75*F75</x:f>
        <x:v>18.879</x:v>
      </x:c>
      <x:c r="H75" s="148" t="str">
        <x:v>Modeled allocation; editable assumption, not retailer-reported.</x:v>
      </x:c>
    </x:row>
    <x:row r="76" ht="18" customHeight="1">
      <x:c r="A76" s="146" t="str">
        <x:v>USA</x:v>
      </x:c>
      <x:c r="B76" s="147" t="str">
        <x:v>PCA SKIN</x:v>
      </x:c>
      <x:c r="C76" s="147" t="str">
        <x:v>Skin Health</x:v>
      </x:c>
      <x:c r="D76" s="147" t="str">
        <x:v>Other</x:v>
      </x:c>
      <x:c r="E76" s="156" t="n">
        <x:v>0.1</x:v>
      </x:c>
      <x:c r="F76" s="153" t="n">
        <x:f>SUMIFS('Brand Repository'!$L$2:$L$35,'Brand Repository'!$B$2:$B$35,$A76,'Brand Repository'!$C$2:$C$35,$B76)</x:f>
        <x:v>125.86000000000001</x:v>
      </x:c>
      <x:c r="G76" s="153" t="n">
        <x:f>E76*F76</x:f>
        <x:v>12.586000000000002</x:v>
      </x:c>
      <x:c r="H76" s="148" t="str">
        <x:v>Modeled allocation; editable assumption, not retailer-reported.</x:v>
      </x:c>
    </x:row>
    <x:row r="77" ht="18" customHeight="1">
      <x:c r="A77" s="146" t="str">
        <x:v>USA</x:v>
      </x:c>
      <x:c r="B77" s="147" t="str">
        <x:v>Softsoap</x:v>
      </x:c>
      <x:c r="C77" s="147" t="str">
        <x:v>Personal Care</x:v>
      </x:c>
      <x:c r="D77" s="147" t="str">
        <x:v>Walmart</x:v>
      </x:c>
      <x:c r="E77" s="156" t="n">
        <x:v>0.26</x:v>
      </x:c>
      <x:c r="F77" s="153" t="n">
        <x:f>SUMIFS('Brand Repository'!$L$2:$L$35,'Brand Repository'!$B$2:$B$35,$A77,'Brand Repository'!$C$2:$C$35,$B77)</x:f>
        <x:v>287.68</x:v>
      </x:c>
      <x:c r="G77" s="153" t="n">
        <x:f>E77*F77</x:f>
        <x:v>74.7968</x:v>
      </x:c>
      <x:c r="H77" s="148" t="str">
        <x:v>Modeled allocation; editable assumption, not retailer-reported.</x:v>
      </x:c>
    </x:row>
    <x:row r="78" ht="18" customHeight="1">
      <x:c r="A78" s="146" t="str">
        <x:v>USA</x:v>
      </x:c>
      <x:c r="B78" s="147" t="str">
        <x:v>Softsoap</x:v>
      </x:c>
      <x:c r="C78" s="147" t="str">
        <x:v>Personal Care</x:v>
      </x:c>
      <x:c r="D78" s="147" t="str">
        <x:v>Amazon</x:v>
      </x:c>
      <x:c r="E78" s="156" t="n">
        <x:v>0.14</x:v>
      </x:c>
      <x:c r="F78" s="153" t="n">
        <x:f>SUMIFS('Brand Repository'!$L$2:$L$35,'Brand Repository'!$B$2:$B$35,$A78,'Brand Repository'!$C$2:$C$35,$B78)</x:f>
        <x:v>287.68</x:v>
      </x:c>
      <x:c r="G78" s="153" t="n">
        <x:f>E78*F78</x:f>
        <x:v>40.275200000000005</x:v>
      </x:c>
      <x:c r="H78" s="148" t="str">
        <x:v>Modeled allocation; editable assumption, not retailer-reported.</x:v>
      </x:c>
    </x:row>
    <x:row r="79" ht="18" customHeight="1">
      <x:c r="A79" s="146" t="str">
        <x:v>USA</x:v>
      </x:c>
      <x:c r="B79" s="147" t="str">
        <x:v>Softsoap</x:v>
      </x:c>
      <x:c r="C79" s="147" t="str">
        <x:v>Personal Care</x:v>
      </x:c>
      <x:c r="D79" s="147" t="str">
        <x:v>Target</x:v>
      </x:c>
      <x:c r="E79" s="156" t="n">
        <x:v>0.12</x:v>
      </x:c>
      <x:c r="F79" s="153" t="n">
        <x:f>SUMIFS('Brand Repository'!$L$2:$L$35,'Brand Repository'!$B$2:$B$35,$A79,'Brand Repository'!$C$2:$C$35,$B79)</x:f>
        <x:v>287.68</x:v>
      </x:c>
      <x:c r="G79" s="153" t="n">
        <x:f>E79*F79</x:f>
        <x:v>34.5216</x:v>
      </x:c>
      <x:c r="H79" s="148" t="str">
        <x:v>Modeled allocation; editable assumption, not retailer-reported.</x:v>
      </x:c>
    </x:row>
    <x:row r="80" ht="18" customHeight="1">
      <x:c r="A80" s="146" t="str">
        <x:v>USA</x:v>
      </x:c>
      <x:c r="B80" s="147" t="str">
        <x:v>Softsoap</x:v>
      </x:c>
      <x:c r="C80" s="147" t="str">
        <x:v>Personal Care</x:v>
      </x:c>
      <x:c r="D80" s="147" t="str">
        <x:v>Club retailers</x:v>
      </x:c>
      <x:c r="E80" s="156" t="n">
        <x:v>0.08</x:v>
      </x:c>
      <x:c r="F80" s="153" t="n">
        <x:f>SUMIFS('Brand Repository'!$L$2:$L$35,'Brand Repository'!$B$2:$B$35,$A80,'Brand Repository'!$C$2:$C$35,$B80)</x:f>
        <x:v>287.68</x:v>
      </x:c>
      <x:c r="G80" s="153" t="n">
        <x:f>E80*F80</x:f>
        <x:v>23.014400000000002</x:v>
      </x:c>
      <x:c r="H80" s="148" t="str">
        <x:v>Modeled allocation; editable assumption, not retailer-reported.</x:v>
      </x:c>
    </x:row>
    <x:row r="81" ht="18" customHeight="1">
      <x:c r="A81" s="146" t="str">
        <x:v>USA</x:v>
      </x:c>
      <x:c r="B81" s="147" t="str">
        <x:v>Softsoap</x:v>
      </x:c>
      <x:c r="C81" s="147" t="str">
        <x:v>Personal Care</x:v>
      </x:c>
      <x:c r="D81" s="147" t="str">
        <x:v>Drug/grocery</x:v>
      </x:c>
      <x:c r="E81" s="156" t="n">
        <x:v>0.14</x:v>
      </x:c>
      <x:c r="F81" s="153" t="n">
        <x:f>SUMIFS('Brand Repository'!$L$2:$L$35,'Brand Repository'!$B$2:$B$35,$A81,'Brand Repository'!$C$2:$C$35,$B81)</x:f>
        <x:v>287.68</x:v>
      </x:c>
      <x:c r="G81" s="153" t="n">
        <x:f>E81*F81</x:f>
        <x:v>40.275200000000005</x:v>
      </x:c>
      <x:c r="H81" s="148" t="str">
        <x:v>Modeled allocation; editable assumption, not retailer-reported.</x:v>
      </x:c>
    </x:row>
    <x:row r="82" ht="18" customHeight="1">
      <x:c r="A82" s="146" t="str">
        <x:v>USA</x:v>
      </x:c>
      <x:c r="B82" s="147" t="str">
        <x:v>Softsoap</x:v>
      </x:c>
      <x:c r="C82" s="147" t="str">
        <x:v>Personal Care</x:v>
      </x:c>
      <x:c r="D82" s="147" t="str">
        <x:v>Other</x:v>
      </x:c>
      <x:c r="E82" s="156" t="n">
        <x:v>0.26</x:v>
      </x:c>
      <x:c r="F82" s="153" t="n">
        <x:f>SUMIFS('Brand Repository'!$L$2:$L$35,'Brand Repository'!$B$2:$B$35,$A82,'Brand Repository'!$C$2:$C$35,$B82)</x:f>
        <x:v>287.68</x:v>
      </x:c>
      <x:c r="G82" s="153" t="n">
        <x:f>E82*F82</x:f>
        <x:v>74.7968</x:v>
      </x:c>
      <x:c r="H82" s="148" t="str">
        <x:v>Modeled allocation; editable assumption, not retailer-reported.</x:v>
      </x:c>
    </x:row>
    <x:row r="83" ht="18" customHeight="1">
      <x:c r="A83" s="146" t="str">
        <x:v>USA</x:v>
      </x:c>
      <x:c r="B83" s="147" t="str">
        <x:v>Speed Stick</x:v>
      </x:c>
      <x:c r="C83" s="147" t="str">
        <x:v>Personal Care</x:v>
      </x:c>
      <x:c r="D83" s="147" t="str">
        <x:v>Walmart</x:v>
      </x:c>
      <x:c r="E83" s="156" t="n">
        <x:v>0.26</x:v>
      </x:c>
      <x:c r="F83" s="153" t="n">
        <x:f>SUMIFS('Brand Repository'!$L$2:$L$35,'Brand Repository'!$B$2:$B$35,$A83,'Brand Repository'!$C$2:$C$35,$B83)</x:f>
        <x:v>71.92</x:v>
      </x:c>
      <x:c r="G83" s="153" t="n">
        <x:f>E83*F83</x:f>
        <x:v>18.6992</x:v>
      </x:c>
      <x:c r="H83" s="148" t="str">
        <x:v>Modeled allocation; editable assumption, not retailer-reported.</x:v>
      </x:c>
    </x:row>
    <x:row r="84" ht="18" customHeight="1">
      <x:c r="A84" s="146" t="str">
        <x:v>USA</x:v>
      </x:c>
      <x:c r="B84" s="147" t="str">
        <x:v>Speed Stick</x:v>
      </x:c>
      <x:c r="C84" s="147" t="str">
        <x:v>Personal Care</x:v>
      </x:c>
      <x:c r="D84" s="147" t="str">
        <x:v>Amazon</x:v>
      </x:c>
      <x:c r="E84" s="156" t="n">
        <x:v>0.14</x:v>
      </x:c>
      <x:c r="F84" s="153" t="n">
        <x:f>SUMIFS('Brand Repository'!$L$2:$L$35,'Brand Repository'!$B$2:$B$35,$A84,'Brand Repository'!$C$2:$C$35,$B84)</x:f>
        <x:v>71.92</x:v>
      </x:c>
      <x:c r="G84" s="153" t="n">
        <x:f>E84*F84</x:f>
        <x:v>10.068800000000001</x:v>
      </x:c>
      <x:c r="H84" s="148" t="str">
        <x:v>Modeled allocation; editable assumption, not retailer-reported.</x:v>
      </x:c>
    </x:row>
    <x:row r="85" ht="18" customHeight="1">
      <x:c r="A85" s="146" t="str">
        <x:v>USA</x:v>
      </x:c>
      <x:c r="B85" s="147" t="str">
        <x:v>Speed Stick</x:v>
      </x:c>
      <x:c r="C85" s="147" t="str">
        <x:v>Personal Care</x:v>
      </x:c>
      <x:c r="D85" s="147" t="str">
        <x:v>Target</x:v>
      </x:c>
      <x:c r="E85" s="156" t="n">
        <x:v>0.12</x:v>
      </x:c>
      <x:c r="F85" s="153" t="n">
        <x:f>SUMIFS('Brand Repository'!$L$2:$L$35,'Brand Repository'!$B$2:$B$35,$A85,'Brand Repository'!$C$2:$C$35,$B85)</x:f>
        <x:v>71.92</x:v>
      </x:c>
      <x:c r="G85" s="153" t="n">
        <x:f>E85*F85</x:f>
        <x:v>8.6304</x:v>
      </x:c>
      <x:c r="H85" s="148" t="str">
        <x:v>Modeled allocation; editable assumption, not retailer-reported.</x:v>
      </x:c>
    </x:row>
    <x:row r="86" ht="18" customHeight="1">
      <x:c r="A86" s="146" t="str">
        <x:v>USA</x:v>
      </x:c>
      <x:c r="B86" s="147" t="str">
        <x:v>Speed Stick</x:v>
      </x:c>
      <x:c r="C86" s="147" t="str">
        <x:v>Personal Care</x:v>
      </x:c>
      <x:c r="D86" s="147" t="str">
        <x:v>Club retailers</x:v>
      </x:c>
      <x:c r="E86" s="156" t="n">
        <x:v>0.08</x:v>
      </x:c>
      <x:c r="F86" s="153" t="n">
        <x:f>SUMIFS('Brand Repository'!$L$2:$L$35,'Brand Repository'!$B$2:$B$35,$A86,'Brand Repository'!$C$2:$C$35,$B86)</x:f>
        <x:v>71.92</x:v>
      </x:c>
      <x:c r="G86" s="153" t="n">
        <x:f>E86*F86</x:f>
        <x:v>5.7536000000000005</x:v>
      </x:c>
      <x:c r="H86" s="148" t="str">
        <x:v>Modeled allocation; editable assumption, not retailer-reported.</x:v>
      </x:c>
    </x:row>
    <x:row r="87" ht="18" customHeight="1">
      <x:c r="A87" s="146" t="str">
        <x:v>USA</x:v>
      </x:c>
      <x:c r="B87" s="147" t="str">
        <x:v>Speed Stick</x:v>
      </x:c>
      <x:c r="C87" s="147" t="str">
        <x:v>Personal Care</x:v>
      </x:c>
      <x:c r="D87" s="147" t="str">
        <x:v>Drug/grocery</x:v>
      </x:c>
      <x:c r="E87" s="156" t="n">
        <x:v>0.14</x:v>
      </x:c>
      <x:c r="F87" s="153" t="n">
        <x:f>SUMIFS('Brand Repository'!$L$2:$L$35,'Brand Repository'!$B$2:$B$35,$A87,'Brand Repository'!$C$2:$C$35,$B87)</x:f>
        <x:v>71.92</x:v>
      </x:c>
      <x:c r="G87" s="153" t="n">
        <x:f>E87*F87</x:f>
        <x:v>10.068800000000001</x:v>
      </x:c>
      <x:c r="H87" s="148" t="str">
        <x:v>Modeled allocation; editable assumption, not retailer-reported.</x:v>
      </x:c>
    </x:row>
    <x:row r="88" ht="18" customHeight="1">
      <x:c r="A88" s="146" t="str">
        <x:v>USA</x:v>
      </x:c>
      <x:c r="B88" s="147" t="str">
        <x:v>Speed Stick</x:v>
      </x:c>
      <x:c r="C88" s="147" t="str">
        <x:v>Personal Care</x:v>
      </x:c>
      <x:c r="D88" s="147" t="str">
        <x:v>Other</x:v>
      </x:c>
      <x:c r="E88" s="156" t="n">
        <x:v>0.26</x:v>
      </x:c>
      <x:c r="F88" s="153" t="n">
        <x:f>SUMIFS('Brand Repository'!$L$2:$L$35,'Brand Repository'!$B$2:$B$35,$A88,'Brand Repository'!$C$2:$C$35,$B88)</x:f>
        <x:v>71.92</x:v>
      </x:c>
      <x:c r="G88" s="153" t="n">
        <x:f>E88*F88</x:f>
        <x:v>18.6992</x:v>
      </x:c>
      <x:c r="H88" s="148" t="str">
        <x:v>Modeled allocation; editable assumption, not retailer-reported.</x:v>
      </x:c>
    </x:row>
    <x:row r="89" ht="18" customHeight="1">
      <x:c r="A89" s="146" t="str">
        <x:v>USA</x:v>
      </x:c>
      <x:c r="B89" s="147" t="str">
        <x:v>Suavitel</x:v>
      </x:c>
      <x:c r="C89" s="147" t="str">
        <x:v>Home Care</x:v>
      </x:c>
      <x:c r="D89" s="147" t="str">
        <x:v>Walmart</x:v>
      </x:c>
      <x:c r="E89" s="156" t="n">
        <x:v>0.26</x:v>
      </x:c>
      <x:c r="F89" s="153" t="n">
        <x:f>SUMIFS('Brand Repository'!$L$2:$L$35,'Brand Repository'!$B$2:$B$35,$A89,'Brand Repository'!$C$2:$C$35,$B89)</x:f>
        <x:v>107.88</x:v>
      </x:c>
      <x:c r="G89" s="153" t="n">
        <x:f>E89*F89</x:f>
        <x:v>28.0488</x:v>
      </x:c>
      <x:c r="H89" s="148" t="str">
        <x:v>Modeled allocation; editable assumption, not retailer-reported.</x:v>
      </x:c>
    </x:row>
    <x:row r="90" ht="18" customHeight="1">
      <x:c r="A90" s="146" t="str">
        <x:v>USA</x:v>
      </x:c>
      <x:c r="B90" s="147" t="str">
        <x:v>Suavitel</x:v>
      </x:c>
      <x:c r="C90" s="147" t="str">
        <x:v>Home Care</x:v>
      </x:c>
      <x:c r="D90" s="147" t="str">
        <x:v>Amazon</x:v>
      </x:c>
      <x:c r="E90" s="156" t="n">
        <x:v>0.14</x:v>
      </x:c>
      <x:c r="F90" s="153" t="n">
        <x:f>SUMIFS('Brand Repository'!$L$2:$L$35,'Brand Repository'!$B$2:$B$35,$A90,'Brand Repository'!$C$2:$C$35,$B90)</x:f>
        <x:v>107.88</x:v>
      </x:c>
      <x:c r="G90" s="153" t="n">
        <x:f>E90*F90</x:f>
        <x:v>15.103200000000001</x:v>
      </x:c>
      <x:c r="H90" s="148" t="str">
        <x:v>Modeled allocation; editable assumption, not retailer-reported.</x:v>
      </x:c>
    </x:row>
    <x:row r="91" ht="18" customHeight="1">
      <x:c r="A91" s="146" t="str">
        <x:v>USA</x:v>
      </x:c>
      <x:c r="B91" s="147" t="str">
        <x:v>Suavitel</x:v>
      </x:c>
      <x:c r="C91" s="147" t="str">
        <x:v>Home Care</x:v>
      </x:c>
      <x:c r="D91" s="147" t="str">
        <x:v>Target</x:v>
      </x:c>
      <x:c r="E91" s="156" t="n">
        <x:v>0.12</x:v>
      </x:c>
      <x:c r="F91" s="153" t="n">
        <x:f>SUMIFS('Brand Repository'!$L$2:$L$35,'Brand Repository'!$B$2:$B$35,$A91,'Brand Repository'!$C$2:$C$35,$B91)</x:f>
        <x:v>107.88</x:v>
      </x:c>
      <x:c r="G91" s="153" t="n">
        <x:f>E91*F91</x:f>
        <x:v>12.945599999999999</x:v>
      </x:c>
      <x:c r="H91" s="148" t="str">
        <x:v>Modeled allocation; editable assumption, not retailer-reported.</x:v>
      </x:c>
    </x:row>
    <x:row r="92" ht="18" customHeight="1">
      <x:c r="A92" s="146" t="str">
        <x:v>USA</x:v>
      </x:c>
      <x:c r="B92" s="147" t="str">
        <x:v>Suavitel</x:v>
      </x:c>
      <x:c r="C92" s="147" t="str">
        <x:v>Home Care</x:v>
      </x:c>
      <x:c r="D92" s="147" t="str">
        <x:v>Club retailers</x:v>
      </x:c>
      <x:c r="E92" s="156" t="n">
        <x:v>0.08</x:v>
      </x:c>
      <x:c r="F92" s="153" t="n">
        <x:f>SUMIFS('Brand Repository'!$L$2:$L$35,'Brand Repository'!$B$2:$B$35,$A92,'Brand Repository'!$C$2:$C$35,$B92)</x:f>
        <x:v>107.88</x:v>
      </x:c>
      <x:c r="G92" s="153" t="n">
        <x:f>E92*F92</x:f>
        <x:v>8.6304</x:v>
      </x:c>
      <x:c r="H92" s="148" t="str">
        <x:v>Modeled allocation; editable assumption, not retailer-reported.</x:v>
      </x:c>
    </x:row>
    <x:row r="93" ht="18" customHeight="1">
      <x:c r="A93" s="146" t="str">
        <x:v>USA</x:v>
      </x:c>
      <x:c r="B93" s="147" t="str">
        <x:v>Suavitel</x:v>
      </x:c>
      <x:c r="C93" s="147" t="str">
        <x:v>Home Care</x:v>
      </x:c>
      <x:c r="D93" s="147" t="str">
        <x:v>Drug/grocery</x:v>
      </x:c>
      <x:c r="E93" s="156" t="n">
        <x:v>0.14</x:v>
      </x:c>
      <x:c r="F93" s="153" t="n">
        <x:f>SUMIFS('Brand Repository'!$L$2:$L$35,'Brand Repository'!$B$2:$B$35,$A93,'Brand Repository'!$C$2:$C$35,$B93)</x:f>
        <x:v>107.88</x:v>
      </x:c>
      <x:c r="G93" s="153" t="n">
        <x:f>E93*F93</x:f>
        <x:v>15.103200000000001</x:v>
      </x:c>
      <x:c r="H93" s="148" t="str">
        <x:v>Modeled allocation; editable assumption, not retailer-reported.</x:v>
      </x:c>
    </x:row>
    <x:row r="94" ht="18" customHeight="1">
      <x:c r="A94" s="146" t="str">
        <x:v>USA</x:v>
      </x:c>
      <x:c r="B94" s="147" t="str">
        <x:v>Suavitel</x:v>
      </x:c>
      <x:c r="C94" s="147" t="str">
        <x:v>Home Care</x:v>
      </x:c>
      <x:c r="D94" s="147" t="str">
        <x:v>Other</x:v>
      </x:c>
      <x:c r="E94" s="156" t="n">
        <x:v>0.26</x:v>
      </x:c>
      <x:c r="F94" s="153" t="n">
        <x:f>SUMIFS('Brand Repository'!$L$2:$L$35,'Brand Repository'!$B$2:$B$35,$A94,'Brand Repository'!$C$2:$C$35,$B94)</x:f>
        <x:v>107.88</x:v>
      </x:c>
      <x:c r="G94" s="153" t="n">
        <x:f>E94*F94</x:f>
        <x:v>28.0488</x:v>
      </x:c>
      <x:c r="H94" s="148" t="str">
        <x:v>Modeled allocation; editable assumption, not retailer-reported.</x:v>
      </x:c>
    </x:row>
    <x:row r="95" ht="18" customHeight="1">
      <x:c r="A95" s="146" t="str">
        <x:v>USA</x:v>
      </x:c>
      <x:c r="B95" s="147" t="str">
        <x:v>Tom's of Maine</x:v>
      </x:c>
      <x:c r="C95" s="147" t="str">
        <x:v>Oral Care</x:v>
      </x:c>
      <x:c r="D95" s="147" t="str">
        <x:v>Walmart</x:v>
      </x:c>
      <x:c r="E95" s="156" t="n">
        <x:v>0.26</x:v>
      </x:c>
      <x:c r="F95" s="153" t="n">
        <x:f>SUMIFS('Brand Repository'!$L$2:$L$35,'Brand Repository'!$B$2:$B$35,$A95,'Brand Repository'!$C$2:$C$35,$B95)</x:f>
        <x:v>172.608</x:v>
      </x:c>
      <x:c r="G95" s="153" t="n">
        <x:f>E95*F95</x:f>
        <x:v>44.878080000000004</x:v>
      </x:c>
      <x:c r="H95" s="148" t="str">
        <x:v>Modeled allocation; editable assumption, not retailer-reported.</x:v>
      </x:c>
    </x:row>
    <x:row r="96" ht="18" customHeight="1">
      <x:c r="A96" s="146" t="str">
        <x:v>USA</x:v>
      </x:c>
      <x:c r="B96" s="147" t="str">
        <x:v>Tom's of Maine</x:v>
      </x:c>
      <x:c r="C96" s="147" t="str">
        <x:v>Oral Care</x:v>
      </x:c>
      <x:c r="D96" s="147" t="str">
        <x:v>Amazon</x:v>
      </x:c>
      <x:c r="E96" s="156" t="n">
        <x:v>0.14</x:v>
      </x:c>
      <x:c r="F96" s="153" t="n">
        <x:f>SUMIFS('Brand Repository'!$L$2:$L$35,'Brand Repository'!$B$2:$B$35,$A96,'Brand Repository'!$C$2:$C$35,$B96)</x:f>
        <x:v>172.608</x:v>
      </x:c>
      <x:c r="G96" s="153" t="n">
        <x:f>E96*F96</x:f>
        <x:v>24.16512</x:v>
      </x:c>
      <x:c r="H96" s="148" t="str">
        <x:v>Modeled allocation; editable assumption, not retailer-reported.</x:v>
      </x:c>
    </x:row>
    <x:row r="97" ht="18" customHeight="1">
      <x:c r="A97" s="146" t="str">
        <x:v>USA</x:v>
      </x:c>
      <x:c r="B97" s="147" t="str">
        <x:v>Tom's of Maine</x:v>
      </x:c>
      <x:c r="C97" s="147" t="str">
        <x:v>Oral Care</x:v>
      </x:c>
      <x:c r="D97" s="147" t="str">
        <x:v>Target</x:v>
      </x:c>
      <x:c r="E97" s="156" t="n">
        <x:v>0.12</x:v>
      </x:c>
      <x:c r="F97" s="153" t="n">
        <x:f>SUMIFS('Brand Repository'!$L$2:$L$35,'Brand Repository'!$B$2:$B$35,$A97,'Brand Repository'!$C$2:$C$35,$B97)</x:f>
        <x:v>172.608</x:v>
      </x:c>
      <x:c r="G97" s="153" t="n">
        <x:f>E97*F97</x:f>
        <x:v>20.71296</x:v>
      </x:c>
      <x:c r="H97" s="148" t="str">
        <x:v>Modeled allocation; editable assumption, not retailer-reported.</x:v>
      </x:c>
    </x:row>
    <x:row r="98" ht="18" customHeight="1">
      <x:c r="A98" s="146" t="str">
        <x:v>USA</x:v>
      </x:c>
      <x:c r="B98" s="147" t="str">
        <x:v>Tom's of Maine</x:v>
      </x:c>
      <x:c r="C98" s="147" t="str">
        <x:v>Oral Care</x:v>
      </x:c>
      <x:c r="D98" s="147" t="str">
        <x:v>Club retailers</x:v>
      </x:c>
      <x:c r="E98" s="156" t="n">
        <x:v>0.08</x:v>
      </x:c>
      <x:c r="F98" s="153" t="n">
        <x:f>SUMIFS('Brand Repository'!$L$2:$L$35,'Brand Repository'!$B$2:$B$35,$A98,'Brand Repository'!$C$2:$C$35,$B98)</x:f>
        <x:v>172.608</x:v>
      </x:c>
      <x:c r="G98" s="153" t="n">
        <x:f>E98*F98</x:f>
        <x:v>13.80864</x:v>
      </x:c>
      <x:c r="H98" s="148" t="str">
        <x:v>Modeled allocation; editable assumption, not retailer-reported.</x:v>
      </x:c>
    </x:row>
    <x:row r="99" ht="18" customHeight="1">
      <x:c r="A99" s="146" t="str">
        <x:v>USA</x:v>
      </x:c>
      <x:c r="B99" s="147" t="str">
        <x:v>Tom's of Maine</x:v>
      </x:c>
      <x:c r="C99" s="147" t="str">
        <x:v>Oral Care</x:v>
      </x:c>
      <x:c r="D99" s="147" t="str">
        <x:v>Drug/grocery</x:v>
      </x:c>
      <x:c r="E99" s="156" t="n">
        <x:v>0.14</x:v>
      </x:c>
      <x:c r="F99" s="153" t="n">
        <x:f>SUMIFS('Brand Repository'!$L$2:$L$35,'Brand Repository'!$B$2:$B$35,$A99,'Brand Repository'!$C$2:$C$35,$B99)</x:f>
        <x:v>172.608</x:v>
      </x:c>
      <x:c r="G99" s="153" t="n">
        <x:f>E99*F99</x:f>
        <x:v>24.16512</x:v>
      </x:c>
      <x:c r="H99" s="148" t="str">
        <x:v>Modeled allocation; editable assumption, not retailer-reported.</x:v>
      </x:c>
    </x:row>
    <x:row r="100" ht="18" customHeight="1">
      <x:c r="A100" s="146" t="str">
        <x:v>USA</x:v>
      </x:c>
      <x:c r="B100" s="147" t="str">
        <x:v>Tom's of Maine</x:v>
      </x:c>
      <x:c r="C100" s="147" t="str">
        <x:v>Oral Care</x:v>
      </x:c>
      <x:c r="D100" s="147" t="str">
        <x:v>Other</x:v>
      </x:c>
      <x:c r="E100" s="156" t="n">
        <x:v>0.26</x:v>
      </x:c>
      <x:c r="F100" s="153" t="n">
        <x:f>SUMIFS('Brand Repository'!$L$2:$L$35,'Brand Repository'!$B$2:$B$35,$A100,'Brand Repository'!$C$2:$C$35,$B100)</x:f>
        <x:v>172.608</x:v>
      </x:c>
      <x:c r="G100" s="153" t="n">
        <x:f>E100*F100</x:f>
        <x:v>44.878080000000004</x:v>
      </x:c>
      <x:c r="H100" s="148" t="str">
        <x:v>Modeled allocation; editable assumption, not retailer-reported.</x:v>
      </x:c>
    </x:row>
    <x:row r="101" ht="18" customHeight="1">
      <x:c r="A101" s="146" t="str">
        <x:v>CA</x:v>
      </x:c>
      <x:c r="B101" s="147" t="str">
        <x:v>Colgate</x:v>
      </x:c>
      <x:c r="C101" s="147" t="str">
        <x:v>Oral Care</x:v>
      </x:c>
      <x:c r="D101" s="147" t="str">
        <x:v>Walmart Canada</x:v>
      </x:c>
      <x:c r="E101" s="156" t="n">
        <x:v>0.22</x:v>
      </x:c>
      <x:c r="F101" s="153" t="n">
        <x:f>SUMIFS('Brand Repository'!$L$2:$L$35,'Brand Repository'!$B$2:$B$35,$A101,'Brand Repository'!$C$2:$C$35,$B101)</x:f>
        <x:v>170.62</x:v>
      </x:c>
      <x:c r="G101" s="153" t="n">
        <x:f>E101*F101</x:f>
        <x:v>37.5364</x:v>
      </x:c>
      <x:c r="H101" s="148" t="str">
        <x:v>Modeled allocation; editable assumption, not retailer-reported.</x:v>
      </x:c>
    </x:row>
    <x:row r="102" ht="18" customHeight="1">
      <x:c r="A102" s="146" t="str">
        <x:v>CA</x:v>
      </x:c>
      <x:c r="B102" s="147" t="str">
        <x:v>Colgate</x:v>
      </x:c>
      <x:c r="C102" s="147" t="str">
        <x:v>Oral Care</x:v>
      </x:c>
      <x:c r="D102" s="147" t="str">
        <x:v>Amazon Canada</x:v>
      </x:c>
      <x:c r="E102" s="156" t="n">
        <x:v>0.12</x:v>
      </x:c>
      <x:c r="F102" s="153" t="n">
        <x:f>SUMIFS('Brand Repository'!$L$2:$L$35,'Brand Repository'!$B$2:$B$35,$A102,'Brand Repository'!$C$2:$C$35,$B102)</x:f>
        <x:v>170.62</x:v>
      </x:c>
      <x:c r="G102" s="153" t="n">
        <x:f>E102*F102</x:f>
        <x:v>20.4744</x:v>
      </x:c>
      <x:c r="H102" s="148" t="str">
        <x:v>Modeled allocation; editable assumption, not retailer-reported.</x:v>
      </x:c>
    </x:row>
    <x:row r="103" ht="18" customHeight="1">
      <x:c r="A103" s="146" t="str">
        <x:v>CA</x:v>
      </x:c>
      <x:c r="B103" s="147" t="str">
        <x:v>Colgate</x:v>
      </x:c>
      <x:c r="C103" s="147" t="str">
        <x:v>Oral Care</x:v>
      </x:c>
      <x:c r="D103" s="147" t="str">
        <x:v>Loblaw/Shoppers</x:v>
      </x:c>
      <x:c r="E103" s="156" t="n">
        <x:v>0.12</x:v>
      </x:c>
      <x:c r="F103" s="153" t="n">
        <x:f>SUMIFS('Brand Repository'!$L$2:$L$35,'Brand Repository'!$B$2:$B$35,$A103,'Brand Repository'!$C$2:$C$35,$B103)</x:f>
        <x:v>170.62</x:v>
      </x:c>
      <x:c r="G103" s="153" t="n">
        <x:f>E103*F103</x:f>
        <x:v>20.4744</x:v>
      </x:c>
      <x:c r="H103" s="148" t="str">
        <x:v>Modeled allocation; editable assumption, not retailer-reported.</x:v>
      </x:c>
    </x:row>
    <x:row r="104" ht="18" customHeight="1">
      <x:c r="A104" s="146" t="str">
        <x:v>CA</x:v>
      </x:c>
      <x:c r="B104" s="147" t="str">
        <x:v>Colgate</x:v>
      </x:c>
      <x:c r="C104" s="147" t="str">
        <x:v>Oral Care</x:v>
      </x:c>
      <x:c r="D104" s="147" t="str">
        <x:v>Costco</x:v>
      </x:c>
      <x:c r="E104" s="156" t="n">
        <x:v>0.1</x:v>
      </x:c>
      <x:c r="F104" s="153" t="n">
        <x:f>SUMIFS('Brand Repository'!$L$2:$L$35,'Brand Repository'!$B$2:$B$35,$A104,'Brand Repository'!$C$2:$C$35,$B104)</x:f>
        <x:v>170.62</x:v>
      </x:c>
      <x:c r="G104" s="153" t="n">
        <x:f>E104*F104</x:f>
        <x:v>17.062</x:v>
      </x:c>
      <x:c r="H104" s="148" t="str">
        <x:v>Modeled allocation; editable assumption, not retailer-reported.</x:v>
      </x:c>
    </x:row>
    <x:row r="105" ht="18" customHeight="1">
      <x:c r="A105" s="146" t="str">
        <x:v>CA</x:v>
      </x:c>
      <x:c r="B105" s="147" t="str">
        <x:v>Colgate</x:v>
      </x:c>
      <x:c r="C105" s="147" t="str">
        <x:v>Oral Care</x:v>
      </x:c>
      <x:c r="D105" s="147" t="str">
        <x:v>Specialty/grocery</x:v>
      </x:c>
      <x:c r="E105" s="156" t="n">
        <x:v>0.14</x:v>
      </x:c>
      <x:c r="F105" s="153" t="n">
        <x:f>SUMIFS('Brand Repository'!$L$2:$L$35,'Brand Repository'!$B$2:$B$35,$A105,'Brand Repository'!$C$2:$C$35,$B105)</x:f>
        <x:v>170.62</x:v>
      </x:c>
      <x:c r="G105" s="153" t="n">
        <x:f>E105*F105</x:f>
        <x:v>23.886800000000004</x:v>
      </x:c>
      <x:c r="H105" s="148" t="str">
        <x:v>Modeled allocation; editable assumption, not retailer-reported.</x:v>
      </x:c>
    </x:row>
    <x:row r="106" ht="18" customHeight="1">
      <x:c r="A106" s="146" t="str">
        <x:v>CA</x:v>
      </x:c>
      <x:c r="B106" s="147" t="str">
        <x:v>Colgate</x:v>
      </x:c>
      <x:c r="C106" s="147" t="str">
        <x:v>Oral Care</x:v>
      </x:c>
      <x:c r="D106" s="147" t="str">
        <x:v>Other</x:v>
      </x:c>
      <x:c r="E106" s="156" t="n">
        <x:v>0.3</x:v>
      </x:c>
      <x:c r="F106" s="153" t="n">
        <x:f>SUMIFS('Brand Repository'!$L$2:$L$35,'Brand Repository'!$B$2:$B$35,$A106,'Brand Repository'!$C$2:$C$35,$B106)</x:f>
        <x:v>170.62</x:v>
      </x:c>
      <x:c r="G106" s="153" t="n">
        <x:f>E106*F106</x:f>
        <x:v>51.186</x:v>
      </x:c>
      <x:c r="H106" s="148" t="str">
        <x:v>Modeled allocation; editable assumption, not retailer-reported.</x:v>
      </x:c>
    </x:row>
    <x:row r="107" ht="18" customHeight="1">
      <x:c r="A107" s="146" t="str">
        <x:v>CA</x:v>
      </x:c>
      <x:c r="B107" s="147" t="str">
        <x:v>EltaMD</x:v>
      </x:c>
      <x:c r="C107" s="147" t="str">
        <x:v>Skin Health</x:v>
      </x:c>
      <x:c r="D107" s="147" t="str">
        <x:v>Professional/DTC</x:v>
      </x:c>
      <x:c r="E107" s="156" t="n">
        <x:v>0.45</x:v>
      </x:c>
      <x:c r="F107" s="153" t="n">
        <x:f>SUMIFS('Brand Repository'!$L$2:$L$35,'Brand Repository'!$B$2:$B$35,$A107,'Brand Repository'!$C$2:$C$35,$B107)</x:f>
        <x:v>17.96</x:v>
      </x:c>
      <x:c r="G107" s="153" t="n">
        <x:f>E107*F107</x:f>
        <x:v>8.082</x:v>
      </x:c>
      <x:c r="H107" s="148" t="str">
        <x:v>Modeled allocation; editable assumption, not retailer-reported.</x:v>
      </x:c>
    </x:row>
    <x:row r="108" ht="18" customHeight="1">
      <x:c r="A108" s="146" t="str">
        <x:v>CA</x:v>
      </x:c>
      <x:c r="B108" s="147" t="str">
        <x:v>EltaMD</x:v>
      </x:c>
      <x:c r="C108" s="147" t="str">
        <x:v>Skin Health</x:v>
      </x:c>
      <x:c r="D108" s="147" t="str">
        <x:v>Specialist e-commerce</x:v>
      </x:c>
      <x:c r="E108" s="156" t="n">
        <x:v>0.3</x:v>
      </x:c>
      <x:c r="F108" s="153" t="n">
        <x:f>SUMIFS('Brand Repository'!$L$2:$L$35,'Brand Repository'!$B$2:$B$35,$A108,'Brand Repository'!$C$2:$C$35,$B108)</x:f>
        <x:v>17.96</x:v>
      </x:c>
      <x:c r="G108" s="153" t="n">
        <x:f>E108*F108</x:f>
        <x:v>5.388</x:v>
      </x:c>
      <x:c r="H108" s="148" t="str">
        <x:v>Modeled allocation; editable assumption, not retailer-reported.</x:v>
      </x:c>
    </x:row>
    <x:row r="109" ht="18" customHeight="1">
      <x:c r="A109" s="146" t="str">
        <x:v>CA</x:v>
      </x:c>
      <x:c r="B109" s="147" t="str">
        <x:v>EltaMD</x:v>
      </x:c>
      <x:c r="C109" s="147" t="str">
        <x:v>Skin Health</x:v>
      </x:c>
      <x:c r="D109" s="147" t="str">
        <x:v>Amazon Canada</x:v>
      </x:c>
      <x:c r="E109" s="156" t="n">
        <x:v>0.1</x:v>
      </x:c>
      <x:c r="F109" s="153" t="n">
        <x:f>SUMIFS('Brand Repository'!$L$2:$L$35,'Brand Repository'!$B$2:$B$35,$A109,'Brand Repository'!$C$2:$C$35,$B109)</x:f>
        <x:v>17.96</x:v>
      </x:c>
      <x:c r="G109" s="153" t="n">
        <x:f>E109*F109</x:f>
        <x:v>1.7960000000000003</x:v>
      </x:c>
      <x:c r="H109" s="148" t="str">
        <x:v>Modeled allocation; editable assumption, not retailer-reported.</x:v>
      </x:c>
    </x:row>
    <x:row r="110" ht="18" customHeight="1">
      <x:c r="A110" s="146" t="str">
        <x:v>CA</x:v>
      </x:c>
      <x:c r="B110" s="147" t="str">
        <x:v>EltaMD</x:v>
      </x:c>
      <x:c r="C110" s="147" t="str">
        <x:v>Skin Health</x:v>
      </x:c>
      <x:c r="D110" s="147" t="str">
        <x:v>Other</x:v>
      </x:c>
      <x:c r="E110" s="156" t="n">
        <x:v>0.15</x:v>
      </x:c>
      <x:c r="F110" s="153" t="n">
        <x:f>SUMIFS('Brand Repository'!$L$2:$L$35,'Brand Repository'!$B$2:$B$35,$A110,'Brand Repository'!$C$2:$C$35,$B110)</x:f>
        <x:v>17.96</x:v>
      </x:c>
      <x:c r="G110" s="153" t="n">
        <x:f>E110*F110</x:f>
        <x:v>2.694</x:v>
      </x:c>
      <x:c r="H110" s="148" t="str">
        <x:v>Modeled allocation; editable assumption, not retailer-reported.</x:v>
      </x:c>
    </x:row>
    <x:row r="111" ht="18" customHeight="1">
      <x:c r="A111" s="146" t="str">
        <x:v>CA</x:v>
      </x:c>
      <x:c r="B111" s="147" t="str">
        <x:v>Fabuloso</x:v>
      </x:c>
      <x:c r="C111" s="147" t="str">
        <x:v>Home Care</x:v>
      </x:c>
      <x:c r="D111" s="147" t="str">
        <x:v>Walmart Canada</x:v>
      </x:c>
      <x:c r="E111" s="156" t="n">
        <x:v>0.22</x:v>
      </x:c>
      <x:c r="F111" s="153" t="n">
        <x:f>SUMIFS('Brand Repository'!$L$2:$L$35,'Brand Repository'!$B$2:$B$35,$A111,'Brand Repository'!$C$2:$C$35,$B111)</x:f>
        <x:v>8.98</x:v>
      </x:c>
      <x:c r="G111" s="153" t="n">
        <x:f>E111*F111</x:f>
        <x:v>1.9756</x:v>
      </x:c>
      <x:c r="H111" s="148" t="str">
        <x:v>Modeled allocation; editable assumption, not retailer-reported.</x:v>
      </x:c>
    </x:row>
    <x:row r="112" ht="18" customHeight="1">
      <x:c r="A112" s="146" t="str">
        <x:v>CA</x:v>
      </x:c>
      <x:c r="B112" s="147" t="str">
        <x:v>Fabuloso</x:v>
      </x:c>
      <x:c r="C112" s="147" t="str">
        <x:v>Home Care</x:v>
      </x:c>
      <x:c r="D112" s="147" t="str">
        <x:v>Amazon Canada</x:v>
      </x:c>
      <x:c r="E112" s="156" t="n">
        <x:v>0.12</x:v>
      </x:c>
      <x:c r="F112" s="153" t="n">
        <x:f>SUMIFS('Brand Repository'!$L$2:$L$35,'Brand Repository'!$B$2:$B$35,$A112,'Brand Repository'!$C$2:$C$35,$B112)</x:f>
        <x:v>8.98</x:v>
      </x:c>
      <x:c r="G112" s="153" t="n">
        <x:f>E112*F112</x:f>
        <x:v>1.0776000000000001</x:v>
      </x:c>
      <x:c r="H112" s="148" t="str">
        <x:v>Modeled allocation; editable assumption, not retailer-reported.</x:v>
      </x:c>
    </x:row>
    <x:row r="113" ht="18" customHeight="1">
      <x:c r="A113" s="146" t="str">
        <x:v>CA</x:v>
      </x:c>
      <x:c r="B113" s="147" t="str">
        <x:v>Fabuloso</x:v>
      </x:c>
      <x:c r="C113" s="147" t="str">
        <x:v>Home Care</x:v>
      </x:c>
      <x:c r="D113" s="147" t="str">
        <x:v>Loblaw/Shoppers</x:v>
      </x:c>
      <x:c r="E113" s="156" t="n">
        <x:v>0.12</x:v>
      </x:c>
      <x:c r="F113" s="153" t="n">
        <x:f>SUMIFS('Brand Repository'!$L$2:$L$35,'Brand Repository'!$B$2:$B$35,$A113,'Brand Repository'!$C$2:$C$35,$B113)</x:f>
        <x:v>8.98</x:v>
      </x:c>
      <x:c r="G113" s="153" t="n">
        <x:f>E113*F113</x:f>
        <x:v>1.0776000000000001</x:v>
      </x:c>
      <x:c r="H113" s="148" t="str">
        <x:v>Modeled allocation; editable assumption, not retailer-reported.</x:v>
      </x:c>
    </x:row>
    <x:row r="114" ht="18" customHeight="1">
      <x:c r="A114" s="146" t="str">
        <x:v>CA</x:v>
      </x:c>
      <x:c r="B114" s="147" t="str">
        <x:v>Fabuloso</x:v>
      </x:c>
      <x:c r="C114" s="147" t="str">
        <x:v>Home Care</x:v>
      </x:c>
      <x:c r="D114" s="147" t="str">
        <x:v>Costco</x:v>
      </x:c>
      <x:c r="E114" s="156" t="n">
        <x:v>0.1</x:v>
      </x:c>
      <x:c r="F114" s="153" t="n">
        <x:f>SUMIFS('Brand Repository'!$L$2:$L$35,'Brand Repository'!$B$2:$B$35,$A114,'Brand Repository'!$C$2:$C$35,$B114)</x:f>
        <x:v>8.98</x:v>
      </x:c>
      <x:c r="G114" s="153" t="n">
        <x:f>E114*F114</x:f>
        <x:v>0.8980000000000001</x:v>
      </x:c>
      <x:c r="H114" s="148" t="str">
        <x:v>Modeled allocation; editable assumption, not retailer-reported.</x:v>
      </x:c>
    </x:row>
    <x:row r="115" ht="18" customHeight="1">
      <x:c r="A115" s="146" t="str">
        <x:v>CA</x:v>
      </x:c>
      <x:c r="B115" s="147" t="str">
        <x:v>Fabuloso</x:v>
      </x:c>
      <x:c r="C115" s="147" t="str">
        <x:v>Home Care</x:v>
      </x:c>
      <x:c r="D115" s="147" t="str">
        <x:v>Specialty/grocery</x:v>
      </x:c>
      <x:c r="E115" s="156" t="n">
        <x:v>0.14</x:v>
      </x:c>
      <x:c r="F115" s="153" t="n">
        <x:f>SUMIFS('Brand Repository'!$L$2:$L$35,'Brand Repository'!$B$2:$B$35,$A115,'Brand Repository'!$C$2:$C$35,$B115)</x:f>
        <x:v>8.98</x:v>
      </x:c>
      <x:c r="G115" s="153" t="n">
        <x:f>E115*F115</x:f>
        <x:v>1.2572</x:v>
      </x:c>
      <x:c r="H115" s="148" t="str">
        <x:v>Modeled allocation; editable assumption, not retailer-reported.</x:v>
      </x:c>
    </x:row>
    <x:row r="116" ht="18" customHeight="1">
      <x:c r="A116" s="146" t="str">
        <x:v>CA</x:v>
      </x:c>
      <x:c r="B116" s="147" t="str">
        <x:v>Fabuloso</x:v>
      </x:c>
      <x:c r="C116" s="147" t="str">
        <x:v>Home Care</x:v>
      </x:c>
      <x:c r="D116" s="147" t="str">
        <x:v>Other</x:v>
      </x:c>
      <x:c r="E116" s="156" t="n">
        <x:v>0.3</x:v>
      </x:c>
      <x:c r="F116" s="153" t="n">
        <x:f>SUMIFS('Brand Repository'!$L$2:$L$35,'Brand Repository'!$B$2:$B$35,$A116,'Brand Repository'!$C$2:$C$35,$B116)</x:f>
        <x:v>8.98</x:v>
      </x:c>
      <x:c r="G116" s="153" t="n">
        <x:f>E116*F116</x:f>
        <x:v>2.694</x:v>
      </x:c>
      <x:c r="H116" s="148" t="str">
        <x:v>Modeled allocation; editable assumption, not retailer-reported.</x:v>
      </x:c>
    </x:row>
    <x:row r="117" ht="18" customHeight="1">
      <x:c r="A117" s="146" t="str">
        <x:v>CA</x:v>
      </x:c>
      <x:c r="B117" s="147" t="str">
        <x:v>FILORGA</x:v>
      </x:c>
      <x:c r="C117" s="147" t="str">
        <x:v>Skin Health</x:v>
      </x:c>
      <x:c r="D117" s="147" t="str">
        <x:v>Professional/DTC</x:v>
      </x:c>
      <x:c r="E117" s="156" t="n">
        <x:v>0.45</x:v>
      </x:c>
      <x:c r="F117" s="153" t="n">
        <x:f>SUMIFS('Brand Repository'!$L$2:$L$35,'Brand Repository'!$B$2:$B$35,$A117,'Brand Repository'!$C$2:$C$35,$B117)</x:f>
        <x:v>6.734999999999999</x:v>
      </x:c>
      <x:c r="G117" s="153" t="n">
        <x:f>E117*F117</x:f>
        <x:v>3.03075</x:v>
      </x:c>
      <x:c r="H117" s="148" t="str">
        <x:v>Modeled allocation; editable assumption, not retailer-reported.</x:v>
      </x:c>
    </x:row>
    <x:row r="118" ht="18" customHeight="1">
      <x:c r="A118" s="146" t="str">
        <x:v>CA</x:v>
      </x:c>
      <x:c r="B118" s="147" t="str">
        <x:v>FILORGA</x:v>
      </x:c>
      <x:c r="C118" s="147" t="str">
        <x:v>Skin Health</x:v>
      </x:c>
      <x:c r="D118" s="147" t="str">
        <x:v>Specialist e-commerce</x:v>
      </x:c>
      <x:c r="E118" s="156" t="n">
        <x:v>0.3</x:v>
      </x:c>
      <x:c r="F118" s="153" t="n">
        <x:f>SUMIFS('Brand Repository'!$L$2:$L$35,'Brand Repository'!$B$2:$B$35,$A118,'Brand Repository'!$C$2:$C$35,$B118)</x:f>
        <x:v>6.734999999999999</x:v>
      </x:c>
      <x:c r="G118" s="153" t="n">
        <x:f>E118*F118</x:f>
        <x:v>2.0204999999999997</x:v>
      </x:c>
      <x:c r="H118" s="148" t="str">
        <x:v>Modeled allocation; editable assumption, not retailer-reported.</x:v>
      </x:c>
    </x:row>
    <x:row r="119" ht="18" customHeight="1">
      <x:c r="A119" s="146" t="str">
        <x:v>CA</x:v>
      </x:c>
      <x:c r="B119" s="147" t="str">
        <x:v>FILORGA</x:v>
      </x:c>
      <x:c r="C119" s="147" t="str">
        <x:v>Skin Health</x:v>
      </x:c>
      <x:c r="D119" s="147" t="str">
        <x:v>Amazon Canada</x:v>
      </x:c>
      <x:c r="E119" s="156" t="n">
        <x:v>0.1</x:v>
      </x:c>
      <x:c r="F119" s="153" t="n">
        <x:f>SUMIFS('Brand Repository'!$L$2:$L$35,'Brand Repository'!$B$2:$B$35,$A119,'Brand Repository'!$C$2:$C$35,$B119)</x:f>
        <x:v>6.734999999999999</x:v>
      </x:c>
      <x:c r="G119" s="153" t="n">
        <x:f>E119*F119</x:f>
        <x:v>0.6735</x:v>
      </x:c>
      <x:c r="H119" s="148" t="str">
        <x:v>Modeled allocation; editable assumption, not retailer-reported.</x:v>
      </x:c>
    </x:row>
    <x:row r="120" ht="18" customHeight="1">
      <x:c r="A120" s="146" t="str">
        <x:v>CA</x:v>
      </x:c>
      <x:c r="B120" s="147" t="str">
        <x:v>FILORGA</x:v>
      </x:c>
      <x:c r="C120" s="147" t="str">
        <x:v>Skin Health</x:v>
      </x:c>
      <x:c r="D120" s="147" t="str">
        <x:v>Other</x:v>
      </x:c>
      <x:c r="E120" s="156" t="n">
        <x:v>0.15</x:v>
      </x:c>
      <x:c r="F120" s="153" t="n">
        <x:f>SUMIFS('Brand Repository'!$L$2:$L$35,'Brand Repository'!$B$2:$B$35,$A120,'Brand Repository'!$C$2:$C$35,$B120)</x:f>
        <x:v>6.734999999999999</x:v>
      </x:c>
      <x:c r="G120" s="153" t="n">
        <x:f>E120*F120</x:f>
        <x:v>1.0102499999999999</x:v>
      </x:c>
      <x:c r="H120" s="148" t="str">
        <x:v>Modeled allocation; editable assumption, not retailer-reported.</x:v>
      </x:c>
    </x:row>
    <x:row r="121" ht="18" customHeight="1">
      <x:c r="A121" s="146" t="str">
        <x:v>CA</x:v>
      </x:c>
      <x:c r="B121" s="147" t="str">
        <x:v>Fleecy</x:v>
      </x:c>
      <x:c r="C121" s="147" t="str">
        <x:v>Home Care</x:v>
      </x:c>
      <x:c r="D121" s="147" t="str">
        <x:v>Walmart Canada</x:v>
      </x:c>
      <x:c r="E121" s="156" t="n">
        <x:v>0.22</x:v>
      </x:c>
      <x:c r="F121" s="153" t="n">
        <x:f>SUMIFS('Brand Repository'!$L$2:$L$35,'Brand Repository'!$B$2:$B$35,$A121,'Brand Repository'!$C$2:$C$35,$B121)</x:f>
        <x:v>26.939999999999998</x:v>
      </x:c>
      <x:c r="G121" s="153" t="n">
        <x:f>E121*F121</x:f>
        <x:v>5.926799999999999</x:v>
      </x:c>
      <x:c r="H121" s="148" t="str">
        <x:v>Modeled allocation; editable assumption, not retailer-reported.</x:v>
      </x:c>
    </x:row>
    <x:row r="122" ht="18" customHeight="1">
      <x:c r="A122" s="146" t="str">
        <x:v>CA</x:v>
      </x:c>
      <x:c r="B122" s="147" t="str">
        <x:v>Fleecy</x:v>
      </x:c>
      <x:c r="C122" s="147" t="str">
        <x:v>Home Care</x:v>
      </x:c>
      <x:c r="D122" s="147" t="str">
        <x:v>Amazon Canada</x:v>
      </x:c>
      <x:c r="E122" s="156" t="n">
        <x:v>0.12</x:v>
      </x:c>
      <x:c r="F122" s="153" t="n">
        <x:f>SUMIFS('Brand Repository'!$L$2:$L$35,'Brand Repository'!$B$2:$B$35,$A122,'Brand Repository'!$C$2:$C$35,$B122)</x:f>
        <x:v>26.939999999999998</x:v>
      </x:c>
      <x:c r="G122" s="153" t="n">
        <x:f>E122*F122</x:f>
        <x:v>3.2327999999999997</x:v>
      </x:c>
      <x:c r="H122" s="148" t="str">
        <x:v>Modeled allocation; editable assumption, not retailer-reported.</x:v>
      </x:c>
    </x:row>
    <x:row r="123" ht="18" customHeight="1">
      <x:c r="A123" s="146" t="str">
        <x:v>CA</x:v>
      </x:c>
      <x:c r="B123" s="147" t="str">
        <x:v>Fleecy</x:v>
      </x:c>
      <x:c r="C123" s="147" t="str">
        <x:v>Home Care</x:v>
      </x:c>
      <x:c r="D123" s="147" t="str">
        <x:v>Loblaw/Shoppers</x:v>
      </x:c>
      <x:c r="E123" s="156" t="n">
        <x:v>0.12</x:v>
      </x:c>
      <x:c r="F123" s="153" t="n">
        <x:f>SUMIFS('Brand Repository'!$L$2:$L$35,'Brand Repository'!$B$2:$B$35,$A123,'Brand Repository'!$C$2:$C$35,$B123)</x:f>
        <x:v>26.939999999999998</x:v>
      </x:c>
      <x:c r="G123" s="153" t="n">
        <x:f>E123*F123</x:f>
        <x:v>3.2327999999999997</x:v>
      </x:c>
      <x:c r="H123" s="148" t="str">
        <x:v>Modeled allocation; editable assumption, not retailer-reported.</x:v>
      </x:c>
    </x:row>
    <x:row r="124" ht="18" customHeight="1">
      <x:c r="A124" s="146" t="str">
        <x:v>CA</x:v>
      </x:c>
      <x:c r="B124" s="147" t="str">
        <x:v>Fleecy</x:v>
      </x:c>
      <x:c r="C124" s="147" t="str">
        <x:v>Home Care</x:v>
      </x:c>
      <x:c r="D124" s="147" t="str">
        <x:v>Costco</x:v>
      </x:c>
      <x:c r="E124" s="156" t="n">
        <x:v>0.1</x:v>
      </x:c>
      <x:c r="F124" s="153" t="n">
        <x:f>SUMIFS('Brand Repository'!$L$2:$L$35,'Brand Repository'!$B$2:$B$35,$A124,'Brand Repository'!$C$2:$C$35,$B124)</x:f>
        <x:v>26.939999999999998</x:v>
      </x:c>
      <x:c r="G124" s="153" t="n">
        <x:f>E124*F124</x:f>
        <x:v>2.694</x:v>
      </x:c>
      <x:c r="H124" s="148" t="str">
        <x:v>Modeled allocation; editable assumption, not retailer-reported.</x:v>
      </x:c>
    </x:row>
    <x:row r="125" ht="18" customHeight="1">
      <x:c r="A125" s="146" t="str">
        <x:v>CA</x:v>
      </x:c>
      <x:c r="B125" s="147" t="str">
        <x:v>Fleecy</x:v>
      </x:c>
      <x:c r="C125" s="147" t="str">
        <x:v>Home Care</x:v>
      </x:c>
      <x:c r="D125" s="147" t="str">
        <x:v>Specialty/grocery</x:v>
      </x:c>
      <x:c r="E125" s="156" t="n">
        <x:v>0.14</x:v>
      </x:c>
      <x:c r="F125" s="153" t="n">
        <x:f>SUMIFS('Brand Repository'!$L$2:$L$35,'Brand Repository'!$B$2:$B$35,$A125,'Brand Repository'!$C$2:$C$35,$B125)</x:f>
        <x:v>26.939999999999998</x:v>
      </x:c>
      <x:c r="G125" s="153" t="n">
        <x:f>E125*F125</x:f>
        <x:v>3.7716</x:v>
      </x:c>
      <x:c r="H125" s="148" t="str">
        <x:v>Modeled allocation; editable assumption, not retailer-reported.</x:v>
      </x:c>
    </x:row>
    <x:row r="126" ht="18" customHeight="1">
      <x:c r="A126" s="146" t="str">
        <x:v>CA</x:v>
      </x:c>
      <x:c r="B126" s="147" t="str">
        <x:v>Fleecy</x:v>
      </x:c>
      <x:c r="C126" s="147" t="str">
        <x:v>Home Care</x:v>
      </x:c>
      <x:c r="D126" s="147" t="str">
        <x:v>Other</x:v>
      </x:c>
      <x:c r="E126" s="156" t="n">
        <x:v>0.3</x:v>
      </x:c>
      <x:c r="F126" s="153" t="n">
        <x:f>SUMIFS('Brand Repository'!$L$2:$L$35,'Brand Repository'!$B$2:$B$35,$A126,'Brand Repository'!$C$2:$C$35,$B126)</x:f>
        <x:v>26.939999999999998</x:v>
      </x:c>
      <x:c r="G126" s="153" t="n">
        <x:f>E126*F126</x:f>
        <x:v>8.081999999999999</x:v>
      </x:c>
      <x:c r="H126" s="148" t="str">
        <x:v>Modeled allocation; editable assumption, not retailer-reported.</x:v>
      </x:c>
    </x:row>
    <x:row r="127" ht="18" customHeight="1">
      <x:c r="A127" s="146" t="str">
        <x:v>CA</x:v>
      </x:c>
      <x:c r="B127" s="147" t="str">
        <x:v>hello</x:v>
      </x:c>
      <x:c r="C127" s="147" t="str">
        <x:v>Oral Care</x:v>
      </x:c>
      <x:c r="D127" s="147" t="str">
        <x:v>Walmart Canada</x:v>
      </x:c>
      <x:c r="E127" s="156" t="n">
        <x:v>0.22</x:v>
      </x:c>
      <x:c r="F127" s="153" t="n">
        <x:f>SUMIFS('Brand Repository'!$L$2:$L$35,'Brand Repository'!$B$2:$B$35,$A127,'Brand Repository'!$C$2:$C$35,$B127)</x:f>
        <x:v>6.734999999999999</x:v>
      </x:c>
      <x:c r="G127" s="153" t="n">
        <x:f>E127*F127</x:f>
        <x:v>1.4816999999999998</x:v>
      </x:c>
      <x:c r="H127" s="148" t="str">
        <x:v>Modeled allocation; editable assumption, not retailer-reported.</x:v>
      </x:c>
    </x:row>
    <x:row r="128" ht="18" customHeight="1">
      <x:c r="A128" s="146" t="str">
        <x:v>CA</x:v>
      </x:c>
      <x:c r="B128" s="147" t="str">
        <x:v>hello</x:v>
      </x:c>
      <x:c r="C128" s="147" t="str">
        <x:v>Oral Care</x:v>
      </x:c>
      <x:c r="D128" s="147" t="str">
        <x:v>Amazon Canada</x:v>
      </x:c>
      <x:c r="E128" s="156" t="n">
        <x:v>0.12</x:v>
      </x:c>
      <x:c r="F128" s="153" t="n">
        <x:f>SUMIFS('Brand Repository'!$L$2:$L$35,'Brand Repository'!$B$2:$B$35,$A128,'Brand Repository'!$C$2:$C$35,$B128)</x:f>
        <x:v>6.734999999999999</x:v>
      </x:c>
      <x:c r="G128" s="153" t="n">
        <x:f>E128*F128</x:f>
        <x:v>0.8081999999999999</x:v>
      </x:c>
      <x:c r="H128" s="148" t="str">
        <x:v>Modeled allocation; editable assumption, not retailer-reported.</x:v>
      </x:c>
    </x:row>
    <x:row r="129" ht="18" customHeight="1">
      <x:c r="A129" s="146" t="str">
        <x:v>CA</x:v>
      </x:c>
      <x:c r="B129" s="147" t="str">
        <x:v>hello</x:v>
      </x:c>
      <x:c r="C129" s="147" t="str">
        <x:v>Oral Care</x:v>
      </x:c>
      <x:c r="D129" s="147" t="str">
        <x:v>Loblaw/Shoppers</x:v>
      </x:c>
      <x:c r="E129" s="156" t="n">
        <x:v>0.12</x:v>
      </x:c>
      <x:c r="F129" s="153" t="n">
        <x:f>SUMIFS('Brand Repository'!$L$2:$L$35,'Brand Repository'!$B$2:$B$35,$A129,'Brand Repository'!$C$2:$C$35,$B129)</x:f>
        <x:v>6.734999999999999</x:v>
      </x:c>
      <x:c r="G129" s="153" t="n">
        <x:f>E129*F129</x:f>
        <x:v>0.8081999999999999</x:v>
      </x:c>
      <x:c r="H129" s="148" t="str">
        <x:v>Modeled allocation; editable assumption, not retailer-reported.</x:v>
      </x:c>
    </x:row>
    <x:row r="130" ht="18" customHeight="1">
      <x:c r="A130" s="146" t="str">
        <x:v>CA</x:v>
      </x:c>
      <x:c r="B130" s="147" t="str">
        <x:v>hello</x:v>
      </x:c>
      <x:c r="C130" s="147" t="str">
        <x:v>Oral Care</x:v>
      </x:c>
      <x:c r="D130" s="147" t="str">
        <x:v>Costco</x:v>
      </x:c>
      <x:c r="E130" s="156" t="n">
        <x:v>0.1</x:v>
      </x:c>
      <x:c r="F130" s="153" t="n">
        <x:f>SUMIFS('Brand Repository'!$L$2:$L$35,'Brand Repository'!$B$2:$B$35,$A130,'Brand Repository'!$C$2:$C$35,$B130)</x:f>
        <x:v>6.734999999999999</x:v>
      </x:c>
      <x:c r="G130" s="153" t="n">
        <x:f>E130*F130</x:f>
        <x:v>0.6735</x:v>
      </x:c>
      <x:c r="H130" s="148" t="str">
        <x:v>Modeled allocation; editable assumption, not retailer-reported.</x:v>
      </x:c>
    </x:row>
    <x:row r="131" ht="18" customHeight="1">
      <x:c r="A131" s="146" t="str">
        <x:v>CA</x:v>
      </x:c>
      <x:c r="B131" s="147" t="str">
        <x:v>hello</x:v>
      </x:c>
      <x:c r="C131" s="147" t="str">
        <x:v>Oral Care</x:v>
      </x:c>
      <x:c r="D131" s="147" t="str">
        <x:v>Specialty/grocery</x:v>
      </x:c>
      <x:c r="E131" s="156" t="n">
        <x:v>0.14</x:v>
      </x:c>
      <x:c r="F131" s="153" t="n">
        <x:f>SUMIFS('Brand Repository'!$L$2:$L$35,'Brand Repository'!$B$2:$B$35,$A131,'Brand Repository'!$C$2:$C$35,$B131)</x:f>
        <x:v>6.734999999999999</x:v>
      </x:c>
      <x:c r="G131" s="153" t="n">
        <x:f>E131*F131</x:f>
        <x:v>0.9429</x:v>
      </x:c>
      <x:c r="H131" s="148" t="str">
        <x:v>Modeled allocation; editable assumption, not retailer-reported.</x:v>
      </x:c>
    </x:row>
    <x:row r="132" ht="18" customHeight="1">
      <x:c r="A132" s="146" t="str">
        <x:v>CA</x:v>
      </x:c>
      <x:c r="B132" s="147" t="str">
        <x:v>hello</x:v>
      </x:c>
      <x:c r="C132" s="147" t="str">
        <x:v>Oral Care</x:v>
      </x:c>
      <x:c r="D132" s="147" t="str">
        <x:v>Other</x:v>
      </x:c>
      <x:c r="E132" s="156" t="n">
        <x:v>0.3</x:v>
      </x:c>
      <x:c r="F132" s="153" t="n">
        <x:f>SUMIFS('Brand Repository'!$L$2:$L$35,'Brand Repository'!$B$2:$B$35,$A132,'Brand Repository'!$C$2:$C$35,$B132)</x:f>
        <x:v>6.734999999999999</x:v>
      </x:c>
      <x:c r="G132" s="153" t="n">
        <x:f>E132*F132</x:f>
        <x:v>2.0204999999999997</x:v>
      </x:c>
      <x:c r="H132" s="148" t="str">
        <x:v>Modeled allocation; editable assumption, not retailer-reported.</x:v>
      </x:c>
    </x:row>
    <x:row r="133" ht="18" customHeight="1">
      <x:c r="A133" s="146" t="str">
        <x:v>CA</x:v>
      </x:c>
      <x:c r="B133" s="147" t="str">
        <x:v>Hill's Prescription Diet</x:v>
      </x:c>
      <x:c r="C133" s="147" t="str">
        <x:v>Pet Nutrition</x:v>
      </x:c>
      <x:c r="D133" s="147" t="str">
        <x:v>PetSmart Canada</x:v>
      </x:c>
      <x:c r="E133" s="156" t="n">
        <x:v>0.25</x:v>
      </x:c>
      <x:c r="F133" s="153" t="n">
        <x:f>SUMIFS('Brand Repository'!$L$2:$L$35,'Brand Repository'!$B$2:$B$35,$A133,'Brand Repository'!$C$2:$C$35,$B133)</x:f>
        <x:v>98</x:v>
      </x:c>
      <x:c r="G133" s="153" t="n">
        <x:f>E133*F133</x:f>
        <x:v>24.5</x:v>
      </x:c>
      <x:c r="H133" s="148" t="str">
        <x:v>Modeled allocation; editable assumption, not retailer-reported.</x:v>
      </x:c>
    </x:row>
    <x:row r="134" ht="18" customHeight="1">
      <x:c r="A134" s="146" t="str">
        <x:v>CA</x:v>
      </x:c>
      <x:c r="B134" s="147" t="str">
        <x:v>Hill's Prescription Diet</x:v>
      </x:c>
      <x:c r="C134" s="147" t="str">
        <x:v>Pet Nutrition</x:v>
      </x:c>
      <x:c r="D134" s="147" t="str">
        <x:v>Pet Valu</x:v>
      </x:c>
      <x:c r="E134" s="156" t="n">
        <x:v>0.2</x:v>
      </x:c>
      <x:c r="F134" s="153" t="n">
        <x:f>SUMIFS('Brand Repository'!$L$2:$L$35,'Brand Repository'!$B$2:$B$35,$A134,'Brand Repository'!$C$2:$C$35,$B134)</x:f>
        <x:v>98</x:v>
      </x:c>
      <x:c r="G134" s="153" t="n">
        <x:f>E134*F134</x:f>
        <x:v>19.6</x:v>
      </x:c>
      <x:c r="H134" s="148" t="str">
        <x:v>Modeled allocation; editable assumption, not retailer-reported.</x:v>
      </x:c>
    </x:row>
    <x:row r="135" ht="18" customHeight="1">
      <x:c r="A135" s="146" t="str">
        <x:v>CA</x:v>
      </x:c>
      <x:c r="B135" s="147" t="str">
        <x:v>Hill's Prescription Diet</x:v>
      </x:c>
      <x:c r="C135" s="147" t="str">
        <x:v>Pet Nutrition</x:v>
      </x:c>
      <x:c r="D135" s="147" t="str">
        <x:v>Veterinary clinics</x:v>
      </x:c>
      <x:c r="E135" s="156" t="n">
        <x:v>0.2</x:v>
      </x:c>
      <x:c r="F135" s="153" t="n">
        <x:f>SUMIFS('Brand Repository'!$L$2:$L$35,'Brand Repository'!$B$2:$B$35,$A135,'Brand Repository'!$C$2:$C$35,$B135)</x:f>
        <x:v>98</x:v>
      </x:c>
      <x:c r="G135" s="153" t="n">
        <x:f>E135*F135</x:f>
        <x:v>19.6</x:v>
      </x:c>
      <x:c r="H135" s="148" t="str">
        <x:v>Modeled allocation; editable assumption, not retailer-reported.</x:v>
      </x:c>
    </x:row>
    <x:row r="136" ht="18" customHeight="1">
      <x:c r="A136" s="146" t="str">
        <x:v>CA</x:v>
      </x:c>
      <x:c r="B136" s="147" t="str">
        <x:v>Hill's Prescription Diet</x:v>
      </x:c>
      <x:c r="C136" s="147" t="str">
        <x:v>Pet Nutrition</x:v>
      </x:c>
      <x:c r="D136" s="147" t="str">
        <x:v>Amazon Canada</x:v>
      </x:c>
      <x:c r="E136" s="156" t="n">
        <x:v>0.15</x:v>
      </x:c>
      <x:c r="F136" s="153" t="n">
        <x:f>SUMIFS('Brand Repository'!$L$2:$L$35,'Brand Repository'!$B$2:$B$35,$A136,'Brand Repository'!$C$2:$C$35,$B136)</x:f>
        <x:v>98</x:v>
      </x:c>
      <x:c r="G136" s="153" t="n">
        <x:f>E136*F136</x:f>
        <x:v>14.7</x:v>
      </x:c>
      <x:c r="H136" s="148" t="str">
        <x:v>Modeled allocation; editable assumption, not retailer-reported.</x:v>
      </x:c>
    </x:row>
    <x:row r="137" ht="18" customHeight="1">
      <x:c r="A137" s="146" t="str">
        <x:v>CA</x:v>
      </x:c>
      <x:c r="B137" s="147" t="str">
        <x:v>Hill's Prescription Diet</x:v>
      </x:c>
      <x:c r="C137" s="147" t="str">
        <x:v>Pet Nutrition</x:v>
      </x:c>
      <x:c r="D137" s="147" t="str">
        <x:v>Other</x:v>
      </x:c>
      <x:c r="E137" s="156" t="n">
        <x:v>0.2</x:v>
      </x:c>
      <x:c r="F137" s="153" t="n">
        <x:f>SUMIFS('Brand Repository'!$L$2:$L$35,'Brand Repository'!$B$2:$B$35,$A137,'Brand Repository'!$C$2:$C$35,$B137)</x:f>
        <x:v>98</x:v>
      </x:c>
      <x:c r="G137" s="153" t="n">
        <x:f>E137*F137</x:f>
        <x:v>19.6</x:v>
      </x:c>
      <x:c r="H137" s="148" t="str">
        <x:v>Modeled allocation; editable assumption, not retailer-reported.</x:v>
      </x:c>
    </x:row>
    <x:row r="138" ht="18" customHeight="1">
      <x:c r="A138" s="146" t="str">
        <x:v>CA</x:v>
      </x:c>
      <x:c r="B138" s="147" t="str">
        <x:v>Hill's Science Diet</x:v>
      </x:c>
      <x:c r="C138" s="147" t="str">
        <x:v>Pet Nutrition</x:v>
      </x:c>
      <x:c r="D138" s="147" t="str">
        <x:v>PetSmart Canada</x:v>
      </x:c>
      <x:c r="E138" s="156" t="n">
        <x:v>0.25</x:v>
      </x:c>
      <x:c r="F138" s="153" t="n">
        <x:f>SUMIFS('Brand Repository'!$L$2:$L$35,'Brand Repository'!$B$2:$B$35,$A138,'Brand Repository'!$C$2:$C$35,$B138)</x:f>
        <x:v>182</x:v>
      </x:c>
      <x:c r="G138" s="153" t="n">
        <x:f>E138*F138</x:f>
        <x:v>45.5</x:v>
      </x:c>
      <x:c r="H138" s="148" t="str">
        <x:v>Modeled allocation; editable assumption, not retailer-reported.</x:v>
      </x:c>
    </x:row>
    <x:row r="139" ht="18" customHeight="1">
      <x:c r="A139" s="146" t="str">
        <x:v>CA</x:v>
      </x:c>
      <x:c r="B139" s="147" t="str">
        <x:v>Hill's Science Diet</x:v>
      </x:c>
      <x:c r="C139" s="147" t="str">
        <x:v>Pet Nutrition</x:v>
      </x:c>
      <x:c r="D139" s="147" t="str">
        <x:v>Pet Valu</x:v>
      </x:c>
      <x:c r="E139" s="156" t="n">
        <x:v>0.2</x:v>
      </x:c>
      <x:c r="F139" s="153" t="n">
        <x:f>SUMIFS('Brand Repository'!$L$2:$L$35,'Brand Repository'!$B$2:$B$35,$A139,'Brand Repository'!$C$2:$C$35,$B139)</x:f>
        <x:v>182</x:v>
      </x:c>
      <x:c r="G139" s="153" t="n">
        <x:f>E139*F139</x:f>
        <x:v>36.4</x:v>
      </x:c>
      <x:c r="H139" s="148" t="str">
        <x:v>Modeled allocation; editable assumption, not retailer-reported.</x:v>
      </x:c>
    </x:row>
    <x:row r="140" ht="18" customHeight="1">
      <x:c r="A140" s="146" t="str">
        <x:v>CA</x:v>
      </x:c>
      <x:c r="B140" s="147" t="str">
        <x:v>Hill's Science Diet</x:v>
      </x:c>
      <x:c r="C140" s="147" t="str">
        <x:v>Pet Nutrition</x:v>
      </x:c>
      <x:c r="D140" s="147" t="str">
        <x:v>Veterinary clinics</x:v>
      </x:c>
      <x:c r="E140" s="156" t="n">
        <x:v>0.2</x:v>
      </x:c>
      <x:c r="F140" s="153" t="n">
        <x:f>SUMIFS('Brand Repository'!$L$2:$L$35,'Brand Repository'!$B$2:$B$35,$A140,'Brand Repository'!$C$2:$C$35,$B140)</x:f>
        <x:v>182</x:v>
      </x:c>
      <x:c r="G140" s="153" t="n">
        <x:f>E140*F140</x:f>
        <x:v>36.4</x:v>
      </x:c>
      <x:c r="H140" s="148" t="str">
        <x:v>Modeled allocation; editable assumption, not retailer-reported.</x:v>
      </x:c>
    </x:row>
    <x:row r="141" ht="18" customHeight="1">
      <x:c r="A141" s="146" t="str">
        <x:v>CA</x:v>
      </x:c>
      <x:c r="B141" s="147" t="str">
        <x:v>Hill's Science Diet</x:v>
      </x:c>
      <x:c r="C141" s="147" t="str">
        <x:v>Pet Nutrition</x:v>
      </x:c>
      <x:c r="D141" s="147" t="str">
        <x:v>Amazon Canada</x:v>
      </x:c>
      <x:c r="E141" s="156" t="n">
        <x:v>0.15</x:v>
      </x:c>
      <x:c r="F141" s="153" t="n">
        <x:f>SUMIFS('Brand Repository'!$L$2:$L$35,'Brand Repository'!$B$2:$B$35,$A141,'Brand Repository'!$C$2:$C$35,$B141)</x:f>
        <x:v>182</x:v>
      </x:c>
      <x:c r="G141" s="153" t="n">
        <x:f>E141*F141</x:f>
        <x:v>27.3</x:v>
      </x:c>
      <x:c r="H141" s="148" t="str">
        <x:v>Modeled allocation; editable assumption, not retailer-reported.</x:v>
      </x:c>
    </x:row>
    <x:row r="142" ht="18" customHeight="1">
      <x:c r="A142" s="146" t="str">
        <x:v>CA</x:v>
      </x:c>
      <x:c r="B142" s="147" t="str">
        <x:v>Hill's Science Diet</x:v>
      </x:c>
      <x:c r="C142" s="147" t="str">
        <x:v>Pet Nutrition</x:v>
      </x:c>
      <x:c r="D142" s="147" t="str">
        <x:v>Other</x:v>
      </x:c>
      <x:c r="E142" s="156" t="n">
        <x:v>0.2</x:v>
      </x:c>
      <x:c r="F142" s="153" t="n">
        <x:f>SUMIFS('Brand Repository'!$L$2:$L$35,'Brand Repository'!$B$2:$B$35,$A142,'Brand Repository'!$C$2:$C$35,$B142)</x:f>
        <x:v>182</x:v>
      </x:c>
      <x:c r="G142" s="153" t="n">
        <x:f>E142*F142</x:f>
        <x:v>36.4</x:v>
      </x:c>
      <x:c r="H142" s="148" t="str">
        <x:v>Modeled allocation; editable assumption, not retailer-reported.</x:v>
      </x:c>
    </x:row>
    <x:row r="143" ht="18" customHeight="1">
      <x:c r="A143" s="146" t="str">
        <x:v>CA</x:v>
      </x:c>
      <x:c r="B143" s="147" t="str">
        <x:v>Irish Spring</x:v>
      </x:c>
      <x:c r="C143" s="147" t="str">
        <x:v>Personal Care</x:v>
      </x:c>
      <x:c r="D143" s="147" t="str">
        <x:v>Walmart Canada</x:v>
      </x:c>
      <x:c r="E143" s="156" t="n">
        <x:v>0.22</x:v>
      </x:c>
      <x:c r="F143" s="153" t="n">
        <x:f>SUMIFS('Brand Repository'!$L$2:$L$35,'Brand Repository'!$B$2:$B$35,$A143,'Brand Repository'!$C$2:$C$35,$B143)</x:f>
        <x:v>22.450000000000003</x:v>
      </x:c>
      <x:c r="G143" s="153" t="n">
        <x:f>E143*F143</x:f>
        <x:v>4.939000000000001</x:v>
      </x:c>
      <x:c r="H143" s="148" t="str">
        <x:v>Modeled allocation; editable assumption, not retailer-reported.</x:v>
      </x:c>
    </x:row>
    <x:row r="144" ht="18" customHeight="1">
      <x:c r="A144" s="146" t="str">
        <x:v>CA</x:v>
      </x:c>
      <x:c r="B144" s="147" t="str">
        <x:v>Irish Spring</x:v>
      </x:c>
      <x:c r="C144" s="147" t="str">
        <x:v>Personal Care</x:v>
      </x:c>
      <x:c r="D144" s="147" t="str">
        <x:v>Amazon Canada</x:v>
      </x:c>
      <x:c r="E144" s="156" t="n">
        <x:v>0.12</x:v>
      </x:c>
      <x:c r="F144" s="153" t="n">
        <x:f>SUMIFS('Brand Repository'!$L$2:$L$35,'Brand Repository'!$B$2:$B$35,$A144,'Brand Repository'!$C$2:$C$35,$B144)</x:f>
        <x:v>22.450000000000003</x:v>
      </x:c>
      <x:c r="G144" s="153" t="n">
        <x:f>E144*F144</x:f>
        <x:v>2.6940000000000004</x:v>
      </x:c>
      <x:c r="H144" s="148" t="str">
        <x:v>Modeled allocation; editable assumption, not retailer-reported.</x:v>
      </x:c>
    </x:row>
    <x:row r="145" ht="18" customHeight="1">
      <x:c r="A145" s="146" t="str">
        <x:v>CA</x:v>
      </x:c>
      <x:c r="B145" s="147" t="str">
        <x:v>Irish Spring</x:v>
      </x:c>
      <x:c r="C145" s="147" t="str">
        <x:v>Personal Care</x:v>
      </x:c>
      <x:c r="D145" s="147" t="str">
        <x:v>Loblaw/Shoppers</x:v>
      </x:c>
      <x:c r="E145" s="156" t="n">
        <x:v>0.12</x:v>
      </x:c>
      <x:c r="F145" s="153" t="n">
        <x:f>SUMIFS('Brand Repository'!$L$2:$L$35,'Brand Repository'!$B$2:$B$35,$A145,'Brand Repository'!$C$2:$C$35,$B145)</x:f>
        <x:v>22.450000000000003</x:v>
      </x:c>
      <x:c r="G145" s="153" t="n">
        <x:f>E145*F145</x:f>
        <x:v>2.6940000000000004</x:v>
      </x:c>
      <x:c r="H145" s="148" t="str">
        <x:v>Modeled allocation; editable assumption, not retailer-reported.</x:v>
      </x:c>
    </x:row>
    <x:row r="146" ht="18" customHeight="1">
      <x:c r="A146" s="146" t="str">
        <x:v>CA</x:v>
      </x:c>
      <x:c r="B146" s="147" t="str">
        <x:v>Irish Spring</x:v>
      </x:c>
      <x:c r="C146" s="147" t="str">
        <x:v>Personal Care</x:v>
      </x:c>
      <x:c r="D146" s="147" t="str">
        <x:v>Costco</x:v>
      </x:c>
      <x:c r="E146" s="156" t="n">
        <x:v>0.1</x:v>
      </x:c>
      <x:c r="F146" s="153" t="n">
        <x:f>SUMIFS('Brand Repository'!$L$2:$L$35,'Brand Repository'!$B$2:$B$35,$A146,'Brand Repository'!$C$2:$C$35,$B146)</x:f>
        <x:v>22.450000000000003</x:v>
      </x:c>
      <x:c r="G146" s="153" t="n">
        <x:f>E146*F146</x:f>
        <x:v>2.2450000000000006</x:v>
      </x:c>
      <x:c r="H146" s="148" t="str">
        <x:v>Modeled allocation; editable assumption, not retailer-reported.</x:v>
      </x:c>
    </x:row>
    <x:row r="147" ht="18" customHeight="1">
      <x:c r="A147" s="146" t="str">
        <x:v>CA</x:v>
      </x:c>
      <x:c r="B147" s="147" t="str">
        <x:v>Irish Spring</x:v>
      </x:c>
      <x:c r="C147" s="147" t="str">
        <x:v>Personal Care</x:v>
      </x:c>
      <x:c r="D147" s="147" t="str">
        <x:v>Specialty/grocery</x:v>
      </x:c>
      <x:c r="E147" s="156" t="n">
        <x:v>0.14</x:v>
      </x:c>
      <x:c r="F147" s="153" t="n">
        <x:f>SUMIFS('Brand Repository'!$L$2:$L$35,'Brand Repository'!$B$2:$B$35,$A147,'Brand Repository'!$C$2:$C$35,$B147)</x:f>
        <x:v>22.450000000000003</x:v>
      </x:c>
      <x:c r="G147" s="153" t="n">
        <x:f>E147*F147</x:f>
        <x:v>3.1430000000000007</x:v>
      </x:c>
      <x:c r="H147" s="148" t="str">
        <x:v>Modeled allocation; editable assumption, not retailer-reported.</x:v>
      </x:c>
    </x:row>
    <x:row r="148" ht="18" customHeight="1">
      <x:c r="A148" s="146" t="str">
        <x:v>CA</x:v>
      </x:c>
      <x:c r="B148" s="147" t="str">
        <x:v>Irish Spring</x:v>
      </x:c>
      <x:c r="C148" s="147" t="str">
        <x:v>Personal Care</x:v>
      </x:c>
      <x:c r="D148" s="147" t="str">
        <x:v>Other</x:v>
      </x:c>
      <x:c r="E148" s="156" t="n">
        <x:v>0.3</x:v>
      </x:c>
      <x:c r="F148" s="153" t="n">
        <x:f>SUMIFS('Brand Repository'!$L$2:$L$35,'Brand Repository'!$B$2:$B$35,$A148,'Brand Repository'!$C$2:$C$35,$B148)</x:f>
        <x:v>22.450000000000003</x:v>
      </x:c>
      <x:c r="G148" s="153" t="n">
        <x:f>E148*F148</x:f>
        <x:v>6.735</x:v>
      </x:c>
      <x:c r="H148" s="148" t="str">
        <x:v>Modeled allocation; editable assumption, not retailer-reported.</x:v>
      </x:c>
    </x:row>
    <x:row r="149" ht="18" customHeight="1">
      <x:c r="A149" s="146" t="str">
        <x:v>CA</x:v>
      </x:c>
      <x:c r="B149" s="147" t="str">
        <x:v>Lady Speed Stick</x:v>
      </x:c>
      <x:c r="C149" s="147" t="str">
        <x:v>Personal Care</x:v>
      </x:c>
      <x:c r="D149" s="147" t="str">
        <x:v>Walmart Canada</x:v>
      </x:c>
      <x:c r="E149" s="156" t="n">
        <x:v>0.22</x:v>
      </x:c>
      <x:c r="F149" s="153" t="n">
        <x:f>SUMIFS('Brand Repository'!$L$2:$L$35,'Brand Repository'!$B$2:$B$35,$A149,'Brand Repository'!$C$2:$C$35,$B149)</x:f>
        <x:v>3.592</x:v>
      </x:c>
      <x:c r="G149" s="153" t="n">
        <x:f>E149*F149</x:f>
        <x:v>0.79024</x:v>
      </x:c>
      <x:c r="H149" s="148" t="str">
        <x:v>Modeled allocation; editable assumption, not retailer-reported.</x:v>
      </x:c>
    </x:row>
    <x:row r="150" ht="18" customHeight="1">
      <x:c r="A150" s="146" t="str">
        <x:v>CA</x:v>
      </x:c>
      <x:c r="B150" s="147" t="str">
        <x:v>Lady Speed Stick</x:v>
      </x:c>
      <x:c r="C150" s="147" t="str">
        <x:v>Personal Care</x:v>
      </x:c>
      <x:c r="D150" s="147" t="str">
        <x:v>Amazon Canada</x:v>
      </x:c>
      <x:c r="E150" s="156" t="n">
        <x:v>0.12</x:v>
      </x:c>
      <x:c r="F150" s="153" t="n">
        <x:f>SUMIFS('Brand Repository'!$L$2:$L$35,'Brand Repository'!$B$2:$B$35,$A150,'Brand Repository'!$C$2:$C$35,$B150)</x:f>
        <x:v>3.592</x:v>
      </x:c>
      <x:c r="G150" s="153" t="n">
        <x:f>E150*F150</x:f>
        <x:v>0.43104</x:v>
      </x:c>
      <x:c r="H150" s="148" t="str">
        <x:v>Modeled allocation; editable assumption, not retailer-reported.</x:v>
      </x:c>
    </x:row>
    <x:row r="151" ht="18" customHeight="1">
      <x:c r="A151" s="146" t="str">
        <x:v>CA</x:v>
      </x:c>
      <x:c r="B151" s="147" t="str">
        <x:v>Lady Speed Stick</x:v>
      </x:c>
      <x:c r="C151" s="147" t="str">
        <x:v>Personal Care</x:v>
      </x:c>
      <x:c r="D151" s="147" t="str">
        <x:v>Loblaw/Shoppers</x:v>
      </x:c>
      <x:c r="E151" s="156" t="n">
        <x:v>0.12</x:v>
      </x:c>
      <x:c r="F151" s="153" t="n">
        <x:f>SUMIFS('Brand Repository'!$L$2:$L$35,'Brand Repository'!$B$2:$B$35,$A151,'Brand Repository'!$C$2:$C$35,$B151)</x:f>
        <x:v>3.592</x:v>
      </x:c>
      <x:c r="G151" s="153" t="n">
        <x:f>E151*F151</x:f>
        <x:v>0.43104</x:v>
      </x:c>
      <x:c r="H151" s="148" t="str">
        <x:v>Modeled allocation; editable assumption, not retailer-reported.</x:v>
      </x:c>
    </x:row>
    <x:row r="152" ht="18" customHeight="1">
      <x:c r="A152" s="146" t="str">
        <x:v>CA</x:v>
      </x:c>
      <x:c r="B152" s="147" t="str">
        <x:v>Lady Speed Stick</x:v>
      </x:c>
      <x:c r="C152" s="147" t="str">
        <x:v>Personal Care</x:v>
      </x:c>
      <x:c r="D152" s="147" t="str">
        <x:v>Costco</x:v>
      </x:c>
      <x:c r="E152" s="156" t="n">
        <x:v>0.1</x:v>
      </x:c>
      <x:c r="F152" s="153" t="n">
        <x:f>SUMIFS('Brand Repository'!$L$2:$L$35,'Brand Repository'!$B$2:$B$35,$A152,'Brand Repository'!$C$2:$C$35,$B152)</x:f>
        <x:v>3.592</x:v>
      </x:c>
      <x:c r="G152" s="153" t="n">
        <x:f>E152*F152</x:f>
        <x:v>0.3592</x:v>
      </x:c>
      <x:c r="H152" s="148" t="str">
        <x:v>Modeled allocation; editable assumption, not retailer-reported.</x:v>
      </x:c>
    </x:row>
    <x:row r="153" ht="18" customHeight="1">
      <x:c r="A153" s="146" t="str">
        <x:v>CA</x:v>
      </x:c>
      <x:c r="B153" s="147" t="str">
        <x:v>Lady Speed Stick</x:v>
      </x:c>
      <x:c r="C153" s="147" t="str">
        <x:v>Personal Care</x:v>
      </x:c>
      <x:c r="D153" s="147" t="str">
        <x:v>Specialty/grocery</x:v>
      </x:c>
      <x:c r="E153" s="156" t="n">
        <x:v>0.14</x:v>
      </x:c>
      <x:c r="F153" s="153" t="n">
        <x:f>SUMIFS('Brand Repository'!$L$2:$L$35,'Brand Repository'!$B$2:$B$35,$A153,'Brand Repository'!$C$2:$C$35,$B153)</x:f>
        <x:v>3.592</x:v>
      </x:c>
      <x:c r="G153" s="153" t="n">
        <x:f>E153*F153</x:f>
        <x:v>0.5028800000000001</x:v>
      </x:c>
      <x:c r="H153" s="148" t="str">
        <x:v>Modeled allocation; editable assumption, not retailer-reported.</x:v>
      </x:c>
    </x:row>
    <x:row r="154" ht="18" customHeight="1">
      <x:c r="A154" s="146" t="str">
        <x:v>CA</x:v>
      </x:c>
      <x:c r="B154" s="147" t="str">
        <x:v>Lady Speed Stick</x:v>
      </x:c>
      <x:c r="C154" s="147" t="str">
        <x:v>Personal Care</x:v>
      </x:c>
      <x:c r="D154" s="147" t="str">
        <x:v>Other</x:v>
      </x:c>
      <x:c r="E154" s="156" t="n">
        <x:v>0.3</x:v>
      </x:c>
      <x:c r="F154" s="153" t="n">
        <x:f>SUMIFS('Brand Repository'!$L$2:$L$35,'Brand Repository'!$B$2:$B$35,$A154,'Brand Repository'!$C$2:$C$35,$B154)</x:f>
        <x:v>3.592</x:v>
      </x:c>
      <x:c r="G154" s="153" t="n">
        <x:f>E154*F154</x:f>
        <x:v>1.0776</x:v>
      </x:c>
      <x:c r="H154" s="148" t="str">
        <x:v>Modeled allocation; editable assumption, not retailer-reported.</x:v>
      </x:c>
    </x:row>
    <x:row r="155" ht="18" customHeight="1">
      <x:c r="A155" s="146" t="str">
        <x:v>CA</x:v>
      </x:c>
      <x:c r="B155" s="147" t="str">
        <x:v>Murphy Oil Soap</x:v>
      </x:c>
      <x:c r="C155" s="147" t="str">
        <x:v>Home Care</x:v>
      </x:c>
      <x:c r="D155" s="147" t="str">
        <x:v>Walmart Canada</x:v>
      </x:c>
      <x:c r="E155" s="156" t="n">
        <x:v>0.22</x:v>
      </x:c>
      <x:c r="F155" s="153" t="n">
        <x:f>SUMIFS('Brand Repository'!$L$2:$L$35,'Brand Repository'!$B$2:$B$35,$A155,'Brand Repository'!$C$2:$C$35,$B155)</x:f>
        <x:v>2.245</x:v>
      </x:c>
      <x:c r="G155" s="153" t="n">
        <x:f>E155*F155</x:f>
        <x:v>0.4939</x:v>
      </x:c>
      <x:c r="H155" s="148" t="str">
        <x:v>Modeled allocation; editable assumption, not retailer-reported.</x:v>
      </x:c>
    </x:row>
    <x:row r="156" ht="18" customHeight="1">
      <x:c r="A156" s="146" t="str">
        <x:v>CA</x:v>
      </x:c>
      <x:c r="B156" s="147" t="str">
        <x:v>Murphy Oil Soap</x:v>
      </x:c>
      <x:c r="C156" s="147" t="str">
        <x:v>Home Care</x:v>
      </x:c>
      <x:c r="D156" s="147" t="str">
        <x:v>Amazon Canada</x:v>
      </x:c>
      <x:c r="E156" s="156" t="n">
        <x:v>0.12</x:v>
      </x:c>
      <x:c r="F156" s="153" t="n">
        <x:f>SUMIFS('Brand Repository'!$L$2:$L$35,'Brand Repository'!$B$2:$B$35,$A156,'Brand Repository'!$C$2:$C$35,$B156)</x:f>
        <x:v>2.245</x:v>
      </x:c>
      <x:c r="G156" s="153" t="n">
        <x:f>E156*F156</x:f>
        <x:v>0.26940000000000003</x:v>
      </x:c>
      <x:c r="H156" s="148" t="str">
        <x:v>Modeled allocation; editable assumption, not retailer-reported.</x:v>
      </x:c>
    </x:row>
    <x:row r="157" ht="18" customHeight="1">
      <x:c r="A157" s="146" t="str">
        <x:v>CA</x:v>
      </x:c>
      <x:c r="B157" s="147" t="str">
        <x:v>Murphy Oil Soap</x:v>
      </x:c>
      <x:c r="C157" s="147" t="str">
        <x:v>Home Care</x:v>
      </x:c>
      <x:c r="D157" s="147" t="str">
        <x:v>Loblaw/Shoppers</x:v>
      </x:c>
      <x:c r="E157" s="156" t="n">
        <x:v>0.12</x:v>
      </x:c>
      <x:c r="F157" s="153" t="n">
        <x:f>SUMIFS('Brand Repository'!$L$2:$L$35,'Brand Repository'!$B$2:$B$35,$A157,'Brand Repository'!$C$2:$C$35,$B157)</x:f>
        <x:v>2.245</x:v>
      </x:c>
      <x:c r="G157" s="153" t="n">
        <x:f>E157*F157</x:f>
        <x:v>0.26940000000000003</x:v>
      </x:c>
      <x:c r="H157" s="148" t="str">
        <x:v>Modeled allocation; editable assumption, not retailer-reported.</x:v>
      </x:c>
    </x:row>
    <x:row r="158" ht="18" customHeight="1">
      <x:c r="A158" s="146" t="str">
        <x:v>CA</x:v>
      </x:c>
      <x:c r="B158" s="147" t="str">
        <x:v>Murphy Oil Soap</x:v>
      </x:c>
      <x:c r="C158" s="147" t="str">
        <x:v>Home Care</x:v>
      </x:c>
      <x:c r="D158" s="147" t="str">
        <x:v>Costco</x:v>
      </x:c>
      <x:c r="E158" s="156" t="n">
        <x:v>0.1</x:v>
      </x:c>
      <x:c r="F158" s="153" t="n">
        <x:f>SUMIFS('Brand Repository'!$L$2:$L$35,'Brand Repository'!$B$2:$B$35,$A158,'Brand Repository'!$C$2:$C$35,$B158)</x:f>
        <x:v>2.245</x:v>
      </x:c>
      <x:c r="G158" s="153" t="n">
        <x:f>E158*F158</x:f>
        <x:v>0.22450000000000003</x:v>
      </x:c>
      <x:c r="H158" s="148" t="str">
        <x:v>Modeled allocation; editable assumption, not retailer-reported.</x:v>
      </x:c>
    </x:row>
    <x:row r="159" ht="18" customHeight="1">
      <x:c r="A159" s="146" t="str">
        <x:v>CA</x:v>
      </x:c>
      <x:c r="B159" s="147" t="str">
        <x:v>Murphy Oil Soap</x:v>
      </x:c>
      <x:c r="C159" s="147" t="str">
        <x:v>Home Care</x:v>
      </x:c>
      <x:c r="D159" s="147" t="str">
        <x:v>Specialty/grocery</x:v>
      </x:c>
      <x:c r="E159" s="156" t="n">
        <x:v>0.14</x:v>
      </x:c>
      <x:c r="F159" s="153" t="n">
        <x:f>SUMIFS('Brand Repository'!$L$2:$L$35,'Brand Repository'!$B$2:$B$35,$A159,'Brand Repository'!$C$2:$C$35,$B159)</x:f>
        <x:v>2.245</x:v>
      </x:c>
      <x:c r="G159" s="153" t="n">
        <x:f>E159*F159</x:f>
        <x:v>0.3143</x:v>
      </x:c>
      <x:c r="H159" s="148" t="str">
        <x:v>Modeled allocation; editable assumption, not retailer-reported.</x:v>
      </x:c>
    </x:row>
    <x:row r="160" ht="18" customHeight="1">
      <x:c r="A160" s="146" t="str">
        <x:v>CA</x:v>
      </x:c>
      <x:c r="B160" s="147" t="str">
        <x:v>Murphy Oil Soap</x:v>
      </x:c>
      <x:c r="C160" s="147" t="str">
        <x:v>Home Care</x:v>
      </x:c>
      <x:c r="D160" s="147" t="str">
        <x:v>Other</x:v>
      </x:c>
      <x:c r="E160" s="156" t="n">
        <x:v>0.3</x:v>
      </x:c>
      <x:c r="F160" s="153" t="n">
        <x:f>SUMIFS('Brand Repository'!$L$2:$L$35,'Brand Repository'!$B$2:$B$35,$A160,'Brand Repository'!$C$2:$C$35,$B160)</x:f>
        <x:v>2.245</x:v>
      </x:c>
      <x:c r="G160" s="153" t="n">
        <x:f>E160*F160</x:f>
        <x:v>0.6735</x:v>
      </x:c>
      <x:c r="H160" s="148" t="str">
        <x:v>Modeled allocation; editable assumption, not retailer-reported.</x:v>
      </x:c>
    </x:row>
    <x:row r="161" ht="18" customHeight="1">
      <x:c r="A161" s="146" t="str">
        <x:v>CA</x:v>
      </x:c>
      <x:c r="B161" s="147" t="str">
        <x:v>Palmolive</x:v>
      </x:c>
      <x:c r="C161" s="147" t="str">
        <x:v>Home Care</x:v>
      </x:c>
      <x:c r="D161" s="147" t="str">
        <x:v>Walmart Canada</x:v>
      </x:c>
      <x:c r="E161" s="156" t="n">
        <x:v>0.22</x:v>
      </x:c>
      <x:c r="F161" s="153" t="n">
        <x:f>SUMIFS('Brand Repository'!$L$2:$L$35,'Brand Repository'!$B$2:$B$35,$A161,'Brand Repository'!$C$2:$C$35,$B161)</x:f>
        <x:v>40.41</x:v>
      </x:c>
      <x:c r="G161" s="153" t="n">
        <x:f>E161*F161</x:f>
        <x:v>8.8902</x:v>
      </x:c>
      <x:c r="H161" s="148" t="str">
        <x:v>Modeled allocation; editable assumption, not retailer-reported.</x:v>
      </x:c>
    </x:row>
    <x:row r="162" ht="18" customHeight="1">
      <x:c r="A162" s="146" t="str">
        <x:v>CA</x:v>
      </x:c>
      <x:c r="B162" s="147" t="str">
        <x:v>Palmolive</x:v>
      </x:c>
      <x:c r="C162" s="147" t="str">
        <x:v>Home Care</x:v>
      </x:c>
      <x:c r="D162" s="147" t="str">
        <x:v>Amazon Canada</x:v>
      </x:c>
      <x:c r="E162" s="156" t="n">
        <x:v>0.12</x:v>
      </x:c>
      <x:c r="F162" s="153" t="n">
        <x:f>SUMIFS('Brand Repository'!$L$2:$L$35,'Brand Repository'!$B$2:$B$35,$A162,'Brand Repository'!$C$2:$C$35,$B162)</x:f>
        <x:v>40.41</x:v>
      </x:c>
      <x:c r="G162" s="153" t="n">
        <x:f>E162*F162</x:f>
        <x:v>4.8492</x:v>
      </x:c>
      <x:c r="H162" s="148" t="str">
        <x:v>Modeled allocation; editable assumption, not retailer-reported.</x:v>
      </x:c>
    </x:row>
    <x:row r="163" ht="18" customHeight="1">
      <x:c r="A163" s="146" t="str">
        <x:v>CA</x:v>
      </x:c>
      <x:c r="B163" s="147" t="str">
        <x:v>Palmolive</x:v>
      </x:c>
      <x:c r="C163" s="147" t="str">
        <x:v>Home Care</x:v>
      </x:c>
      <x:c r="D163" s="147" t="str">
        <x:v>Loblaw/Shoppers</x:v>
      </x:c>
      <x:c r="E163" s="156" t="n">
        <x:v>0.12</x:v>
      </x:c>
      <x:c r="F163" s="153" t="n">
        <x:f>SUMIFS('Brand Repository'!$L$2:$L$35,'Brand Repository'!$B$2:$B$35,$A163,'Brand Repository'!$C$2:$C$35,$B163)</x:f>
        <x:v>40.41</x:v>
      </x:c>
      <x:c r="G163" s="153" t="n">
        <x:f>E163*F163</x:f>
        <x:v>4.8492</x:v>
      </x:c>
      <x:c r="H163" s="148" t="str">
        <x:v>Modeled allocation; editable assumption, not retailer-reported.</x:v>
      </x:c>
    </x:row>
    <x:row r="164" ht="18" customHeight="1">
      <x:c r="A164" s="146" t="str">
        <x:v>CA</x:v>
      </x:c>
      <x:c r="B164" s="147" t="str">
        <x:v>Palmolive</x:v>
      </x:c>
      <x:c r="C164" s="147" t="str">
        <x:v>Home Care</x:v>
      </x:c>
      <x:c r="D164" s="147" t="str">
        <x:v>Costco</x:v>
      </x:c>
      <x:c r="E164" s="156" t="n">
        <x:v>0.1</x:v>
      </x:c>
      <x:c r="F164" s="153" t="n">
        <x:f>SUMIFS('Brand Repository'!$L$2:$L$35,'Brand Repository'!$B$2:$B$35,$A164,'Brand Repository'!$C$2:$C$35,$B164)</x:f>
        <x:v>40.41</x:v>
      </x:c>
      <x:c r="G164" s="153" t="n">
        <x:f>E164*F164</x:f>
        <x:v>4.0409999999999995</x:v>
      </x:c>
      <x:c r="H164" s="148" t="str">
        <x:v>Modeled allocation; editable assumption, not retailer-reported.</x:v>
      </x:c>
    </x:row>
    <x:row r="165" ht="18" customHeight="1">
      <x:c r="A165" s="146" t="str">
        <x:v>CA</x:v>
      </x:c>
      <x:c r="B165" s="147" t="str">
        <x:v>Palmolive</x:v>
      </x:c>
      <x:c r="C165" s="147" t="str">
        <x:v>Home Care</x:v>
      </x:c>
      <x:c r="D165" s="147" t="str">
        <x:v>Specialty/grocery</x:v>
      </x:c>
      <x:c r="E165" s="156" t="n">
        <x:v>0.14</x:v>
      </x:c>
      <x:c r="F165" s="153" t="n">
        <x:f>SUMIFS('Brand Repository'!$L$2:$L$35,'Brand Repository'!$B$2:$B$35,$A165,'Brand Repository'!$C$2:$C$35,$B165)</x:f>
        <x:v>40.41</x:v>
      </x:c>
      <x:c r="G165" s="153" t="n">
        <x:f>E165*F165</x:f>
        <x:v>5.6574</x:v>
      </x:c>
      <x:c r="H165" s="148" t="str">
        <x:v>Modeled allocation; editable assumption, not retailer-reported.</x:v>
      </x:c>
    </x:row>
    <x:row r="166" ht="18" customHeight="1">
      <x:c r="A166" s="146" t="str">
        <x:v>CA</x:v>
      </x:c>
      <x:c r="B166" s="147" t="str">
        <x:v>Palmolive</x:v>
      </x:c>
      <x:c r="C166" s="147" t="str">
        <x:v>Home Care</x:v>
      </x:c>
      <x:c r="D166" s="147" t="str">
        <x:v>Other</x:v>
      </x:c>
      <x:c r="E166" s="156" t="n">
        <x:v>0.3</x:v>
      </x:c>
      <x:c r="F166" s="153" t="n">
        <x:f>SUMIFS('Brand Repository'!$L$2:$L$35,'Brand Repository'!$B$2:$B$35,$A166,'Brand Repository'!$C$2:$C$35,$B166)</x:f>
        <x:v>40.41</x:v>
      </x:c>
      <x:c r="G166" s="153" t="n">
        <x:f>E166*F166</x:f>
        <x:v>12.123</x:v>
      </x:c>
      <x:c r="H166" s="148" t="str">
        <x:v>Modeled allocation; editable assumption, not retailer-reported.</x:v>
      </x:c>
    </x:row>
    <x:row r="167" ht="18" customHeight="1">
      <x:c r="A167" s="146" t="str">
        <x:v>CA</x:v>
      </x:c>
      <x:c r="B167" s="147" t="str">
        <x:v>PCA SKIN</x:v>
      </x:c>
      <x:c r="C167" s="147" t="str">
        <x:v>Skin Health</x:v>
      </x:c>
      <x:c r="D167" s="147" t="str">
        <x:v>Professional/DTC</x:v>
      </x:c>
      <x:c r="E167" s="156" t="n">
        <x:v>0.45</x:v>
      </x:c>
      <x:c r="F167" s="153" t="n">
        <x:f>SUMIFS('Brand Repository'!$L$2:$L$35,'Brand Repository'!$B$2:$B$35,$A167,'Brand Repository'!$C$2:$C$35,$B167)</x:f>
        <x:v>8.98</x:v>
      </x:c>
      <x:c r="G167" s="153" t="n">
        <x:f>E167*F167</x:f>
        <x:v>4.041</x:v>
      </x:c>
      <x:c r="H167" s="148" t="str">
        <x:v>Modeled allocation; editable assumption, not retailer-reported.</x:v>
      </x:c>
    </x:row>
    <x:row r="168" ht="18" customHeight="1">
      <x:c r="A168" s="146" t="str">
        <x:v>CA</x:v>
      </x:c>
      <x:c r="B168" s="147" t="str">
        <x:v>PCA SKIN</x:v>
      </x:c>
      <x:c r="C168" s="147" t="str">
        <x:v>Skin Health</x:v>
      </x:c>
      <x:c r="D168" s="147" t="str">
        <x:v>Specialist e-commerce</x:v>
      </x:c>
      <x:c r="E168" s="156" t="n">
        <x:v>0.3</x:v>
      </x:c>
      <x:c r="F168" s="153" t="n">
        <x:f>SUMIFS('Brand Repository'!$L$2:$L$35,'Brand Repository'!$B$2:$B$35,$A168,'Brand Repository'!$C$2:$C$35,$B168)</x:f>
        <x:v>8.98</x:v>
      </x:c>
      <x:c r="G168" s="153" t="n">
        <x:f>E168*F168</x:f>
        <x:v>2.694</x:v>
      </x:c>
      <x:c r="H168" s="148" t="str">
        <x:v>Modeled allocation; editable assumption, not retailer-reported.</x:v>
      </x:c>
    </x:row>
    <x:row r="169" ht="18" customHeight="1">
      <x:c r="A169" s="146" t="str">
        <x:v>CA</x:v>
      </x:c>
      <x:c r="B169" s="147" t="str">
        <x:v>PCA SKIN</x:v>
      </x:c>
      <x:c r="C169" s="147" t="str">
        <x:v>Skin Health</x:v>
      </x:c>
      <x:c r="D169" s="147" t="str">
        <x:v>Amazon Canada</x:v>
      </x:c>
      <x:c r="E169" s="156" t="n">
        <x:v>0.1</x:v>
      </x:c>
      <x:c r="F169" s="153" t="n">
        <x:f>SUMIFS('Brand Repository'!$L$2:$L$35,'Brand Repository'!$B$2:$B$35,$A169,'Brand Repository'!$C$2:$C$35,$B169)</x:f>
        <x:v>8.98</x:v>
      </x:c>
      <x:c r="G169" s="153" t="n">
        <x:f>E169*F169</x:f>
        <x:v>0.8980000000000001</x:v>
      </x:c>
      <x:c r="H169" s="148" t="str">
        <x:v>Modeled allocation; editable assumption, not retailer-reported.</x:v>
      </x:c>
    </x:row>
    <x:row r="170" ht="18" customHeight="1">
      <x:c r="A170" s="146" t="str">
        <x:v>CA</x:v>
      </x:c>
      <x:c r="B170" s="147" t="str">
        <x:v>PCA SKIN</x:v>
      </x:c>
      <x:c r="C170" s="147" t="str">
        <x:v>Skin Health</x:v>
      </x:c>
      <x:c r="D170" s="147" t="str">
        <x:v>Other</x:v>
      </x:c>
      <x:c r="E170" s="156" t="n">
        <x:v>0.15</x:v>
      </x:c>
      <x:c r="F170" s="153" t="n">
        <x:f>SUMIFS('Brand Repository'!$L$2:$L$35,'Brand Repository'!$B$2:$B$35,$A170,'Brand Repository'!$C$2:$C$35,$B170)</x:f>
        <x:v>8.98</x:v>
      </x:c>
      <x:c r="G170" s="153" t="n">
        <x:f>E170*F170</x:f>
        <x:v>1.347</x:v>
      </x:c>
      <x:c r="H170" s="148" t="str">
        <x:v>Modeled allocation; editable assumption, not retailer-reported.</x:v>
      </x:c>
    </x:row>
    <x:row r="171" ht="18" customHeight="1">
      <x:c r="A171" s="146" t="str">
        <x:v>CA</x:v>
      </x:c>
      <x:c r="B171" s="147" t="str">
        <x:v>Softsoap</x:v>
      </x:c>
      <x:c r="C171" s="147" t="str">
        <x:v>Personal Care</x:v>
      </x:c>
      <x:c r="D171" s="147" t="str">
        <x:v>Walmart Canada</x:v>
      </x:c>
      <x:c r="E171" s="156" t="n">
        <x:v>0.22</x:v>
      </x:c>
      <x:c r="F171" s="153" t="n">
        <x:f>SUMIFS('Brand Repository'!$L$2:$L$35,'Brand Repository'!$B$2:$B$35,$A171,'Brand Repository'!$C$2:$C$35,$B171)</x:f>
        <x:v>31.430000000000003</x:v>
      </x:c>
      <x:c r="G171" s="153" t="n">
        <x:f>E171*F171</x:f>
        <x:v>6.914600000000001</x:v>
      </x:c>
      <x:c r="H171" s="148" t="str">
        <x:v>Modeled allocation; editable assumption, not retailer-reported.</x:v>
      </x:c>
    </x:row>
    <x:row r="172" ht="18" customHeight="1">
      <x:c r="A172" s="146" t="str">
        <x:v>CA</x:v>
      </x:c>
      <x:c r="B172" s="147" t="str">
        <x:v>Softsoap</x:v>
      </x:c>
      <x:c r="C172" s="147" t="str">
        <x:v>Personal Care</x:v>
      </x:c>
      <x:c r="D172" s="147" t="str">
        <x:v>Amazon Canada</x:v>
      </x:c>
      <x:c r="E172" s="156" t="n">
        <x:v>0.12</x:v>
      </x:c>
      <x:c r="F172" s="153" t="n">
        <x:f>SUMIFS('Brand Repository'!$L$2:$L$35,'Brand Repository'!$B$2:$B$35,$A172,'Brand Repository'!$C$2:$C$35,$B172)</x:f>
        <x:v>31.430000000000003</x:v>
      </x:c>
      <x:c r="G172" s="153" t="n">
        <x:f>E172*F172</x:f>
        <x:v>3.7716000000000003</x:v>
      </x:c>
      <x:c r="H172" s="148" t="str">
        <x:v>Modeled allocation; editable assumption, not retailer-reported.</x:v>
      </x:c>
    </x:row>
    <x:row r="173" ht="18" customHeight="1">
      <x:c r="A173" s="146" t="str">
        <x:v>CA</x:v>
      </x:c>
      <x:c r="B173" s="147" t="str">
        <x:v>Softsoap</x:v>
      </x:c>
      <x:c r="C173" s="147" t="str">
        <x:v>Personal Care</x:v>
      </x:c>
      <x:c r="D173" s="147" t="str">
        <x:v>Loblaw/Shoppers</x:v>
      </x:c>
      <x:c r="E173" s="156" t="n">
        <x:v>0.12</x:v>
      </x:c>
      <x:c r="F173" s="153" t="n">
        <x:f>SUMIFS('Brand Repository'!$L$2:$L$35,'Brand Repository'!$B$2:$B$35,$A173,'Brand Repository'!$C$2:$C$35,$B173)</x:f>
        <x:v>31.430000000000003</x:v>
      </x:c>
      <x:c r="G173" s="153" t="n">
        <x:f>E173*F173</x:f>
        <x:v>3.7716000000000003</x:v>
      </x:c>
      <x:c r="H173" s="148" t="str">
        <x:v>Modeled allocation; editable assumption, not retailer-reported.</x:v>
      </x:c>
    </x:row>
    <x:row r="174" ht="18" customHeight="1">
      <x:c r="A174" s="146" t="str">
        <x:v>CA</x:v>
      </x:c>
      <x:c r="B174" s="147" t="str">
        <x:v>Softsoap</x:v>
      </x:c>
      <x:c r="C174" s="147" t="str">
        <x:v>Personal Care</x:v>
      </x:c>
      <x:c r="D174" s="147" t="str">
        <x:v>Costco</x:v>
      </x:c>
      <x:c r="E174" s="156" t="n">
        <x:v>0.1</x:v>
      </x:c>
      <x:c r="F174" s="153" t="n">
        <x:f>SUMIFS('Brand Repository'!$L$2:$L$35,'Brand Repository'!$B$2:$B$35,$A174,'Brand Repository'!$C$2:$C$35,$B174)</x:f>
        <x:v>31.430000000000003</x:v>
      </x:c>
      <x:c r="G174" s="153" t="n">
        <x:f>E174*F174</x:f>
        <x:v>3.1430000000000007</x:v>
      </x:c>
      <x:c r="H174" s="148" t="str">
        <x:v>Modeled allocation; editable assumption, not retailer-reported.</x:v>
      </x:c>
    </x:row>
    <x:row r="175" ht="18" customHeight="1">
      <x:c r="A175" s="146" t="str">
        <x:v>CA</x:v>
      </x:c>
      <x:c r="B175" s="147" t="str">
        <x:v>Softsoap</x:v>
      </x:c>
      <x:c r="C175" s="147" t="str">
        <x:v>Personal Care</x:v>
      </x:c>
      <x:c r="D175" s="147" t="str">
        <x:v>Specialty/grocery</x:v>
      </x:c>
      <x:c r="E175" s="156" t="n">
        <x:v>0.14</x:v>
      </x:c>
      <x:c r="F175" s="153" t="n">
        <x:f>SUMIFS('Brand Repository'!$L$2:$L$35,'Brand Repository'!$B$2:$B$35,$A175,'Brand Repository'!$C$2:$C$35,$B175)</x:f>
        <x:v>31.430000000000003</x:v>
      </x:c>
      <x:c r="G175" s="153" t="n">
        <x:f>E175*F175</x:f>
        <x:v>4.400200000000001</x:v>
      </x:c>
      <x:c r="H175" s="148" t="str">
        <x:v>Modeled allocation; editable assumption, not retailer-reported.</x:v>
      </x:c>
    </x:row>
    <x:row r="176" ht="18" customHeight="1">
      <x:c r="A176" s="146" t="str">
        <x:v>CA</x:v>
      </x:c>
      <x:c r="B176" s="147" t="str">
        <x:v>Softsoap</x:v>
      </x:c>
      <x:c r="C176" s="147" t="str">
        <x:v>Personal Care</x:v>
      </x:c>
      <x:c r="D176" s="147" t="str">
        <x:v>Other</x:v>
      </x:c>
      <x:c r="E176" s="156" t="n">
        <x:v>0.3</x:v>
      </x:c>
      <x:c r="F176" s="153" t="n">
        <x:f>SUMIFS('Brand Repository'!$L$2:$L$35,'Brand Repository'!$B$2:$B$35,$A176,'Brand Repository'!$C$2:$C$35,$B176)</x:f>
        <x:v>31.430000000000003</x:v>
      </x:c>
      <x:c r="G176" s="153" t="n">
        <x:f>E176*F176</x:f>
        <x:v>9.429</x:v>
      </x:c>
      <x:c r="H176" s="148" t="str">
        <x:v>Modeled allocation; editable assumption, not retailer-reported.</x:v>
      </x:c>
    </x:row>
    <x:row r="177" ht="18" customHeight="1">
      <x:c r="A177" s="146" t="str">
        <x:v>CA</x:v>
      </x:c>
      <x:c r="B177" s="147" t="str">
        <x:v>Speed Stick</x:v>
      </x:c>
      <x:c r="C177" s="147" t="str">
        <x:v>Personal Care</x:v>
      </x:c>
      <x:c r="D177" s="147" t="str">
        <x:v>Walmart Canada</x:v>
      </x:c>
      <x:c r="E177" s="156" t="n">
        <x:v>0.22</x:v>
      </x:c>
      <x:c r="F177" s="153" t="n">
        <x:f>SUMIFS('Brand Repository'!$L$2:$L$35,'Brand Repository'!$B$2:$B$35,$A177,'Brand Repository'!$C$2:$C$35,$B177)</x:f>
        <x:v>6.734999999999999</x:v>
      </x:c>
      <x:c r="G177" s="153" t="n">
        <x:f>E177*F177</x:f>
        <x:v>1.4816999999999998</x:v>
      </x:c>
      <x:c r="H177" s="148" t="str">
        <x:v>Modeled allocation; editable assumption, not retailer-reported.</x:v>
      </x:c>
    </x:row>
    <x:row r="178" ht="18" customHeight="1">
      <x:c r="A178" s="146" t="str">
        <x:v>CA</x:v>
      </x:c>
      <x:c r="B178" s="147" t="str">
        <x:v>Speed Stick</x:v>
      </x:c>
      <x:c r="C178" s="147" t="str">
        <x:v>Personal Care</x:v>
      </x:c>
      <x:c r="D178" s="147" t="str">
        <x:v>Amazon Canada</x:v>
      </x:c>
      <x:c r="E178" s="156" t="n">
        <x:v>0.12</x:v>
      </x:c>
      <x:c r="F178" s="153" t="n">
        <x:f>SUMIFS('Brand Repository'!$L$2:$L$35,'Brand Repository'!$B$2:$B$35,$A178,'Brand Repository'!$C$2:$C$35,$B178)</x:f>
        <x:v>6.734999999999999</x:v>
      </x:c>
      <x:c r="G178" s="153" t="n">
        <x:f>E178*F178</x:f>
        <x:v>0.8081999999999999</x:v>
      </x:c>
      <x:c r="H178" s="148" t="str">
        <x:v>Modeled allocation; editable assumption, not retailer-reported.</x:v>
      </x:c>
    </x:row>
    <x:row r="179" ht="18" customHeight="1">
      <x:c r="A179" s="146" t="str">
        <x:v>CA</x:v>
      </x:c>
      <x:c r="B179" s="147" t="str">
        <x:v>Speed Stick</x:v>
      </x:c>
      <x:c r="C179" s="147" t="str">
        <x:v>Personal Care</x:v>
      </x:c>
      <x:c r="D179" s="147" t="str">
        <x:v>Loblaw/Shoppers</x:v>
      </x:c>
      <x:c r="E179" s="156" t="n">
        <x:v>0.12</x:v>
      </x:c>
      <x:c r="F179" s="153" t="n">
        <x:f>SUMIFS('Brand Repository'!$L$2:$L$35,'Brand Repository'!$B$2:$B$35,$A179,'Brand Repository'!$C$2:$C$35,$B179)</x:f>
        <x:v>6.734999999999999</x:v>
      </x:c>
      <x:c r="G179" s="153" t="n">
        <x:f>E179*F179</x:f>
        <x:v>0.8081999999999999</x:v>
      </x:c>
      <x:c r="H179" s="148" t="str">
        <x:v>Modeled allocation; editable assumption, not retailer-reported.</x:v>
      </x:c>
    </x:row>
    <x:row r="180" ht="18" customHeight="1">
      <x:c r="A180" s="146" t="str">
        <x:v>CA</x:v>
      </x:c>
      <x:c r="B180" s="147" t="str">
        <x:v>Speed Stick</x:v>
      </x:c>
      <x:c r="C180" s="147" t="str">
        <x:v>Personal Care</x:v>
      </x:c>
      <x:c r="D180" s="147" t="str">
        <x:v>Costco</x:v>
      </x:c>
      <x:c r="E180" s="156" t="n">
        <x:v>0.1</x:v>
      </x:c>
      <x:c r="F180" s="153" t="n">
        <x:f>SUMIFS('Brand Repository'!$L$2:$L$35,'Brand Repository'!$B$2:$B$35,$A180,'Brand Repository'!$C$2:$C$35,$B180)</x:f>
        <x:v>6.734999999999999</x:v>
      </x:c>
      <x:c r="G180" s="153" t="n">
        <x:f>E180*F180</x:f>
        <x:v>0.6735</x:v>
      </x:c>
      <x:c r="H180" s="148" t="str">
        <x:v>Modeled allocation; editable assumption, not retailer-reported.</x:v>
      </x:c>
    </x:row>
    <x:row r="181" ht="18" customHeight="1">
      <x:c r="A181" s="146" t="str">
        <x:v>CA</x:v>
      </x:c>
      <x:c r="B181" s="147" t="str">
        <x:v>Speed Stick</x:v>
      </x:c>
      <x:c r="C181" s="147" t="str">
        <x:v>Personal Care</x:v>
      </x:c>
      <x:c r="D181" s="147" t="str">
        <x:v>Specialty/grocery</x:v>
      </x:c>
      <x:c r="E181" s="156" t="n">
        <x:v>0.14</x:v>
      </x:c>
      <x:c r="F181" s="153" t="n">
        <x:f>SUMIFS('Brand Repository'!$L$2:$L$35,'Brand Repository'!$B$2:$B$35,$A181,'Brand Repository'!$C$2:$C$35,$B181)</x:f>
        <x:v>6.734999999999999</x:v>
      </x:c>
      <x:c r="G181" s="153" t="n">
        <x:f>E181*F181</x:f>
        <x:v>0.9429</x:v>
      </x:c>
      <x:c r="H181" s="148" t="str">
        <x:v>Modeled allocation; editable assumption, not retailer-reported.</x:v>
      </x:c>
    </x:row>
    <x:row r="182" ht="18" customHeight="1">
      <x:c r="A182" s="146" t="str">
        <x:v>CA</x:v>
      </x:c>
      <x:c r="B182" s="147" t="str">
        <x:v>Speed Stick</x:v>
      </x:c>
      <x:c r="C182" s="147" t="str">
        <x:v>Personal Care</x:v>
      </x:c>
      <x:c r="D182" s="147" t="str">
        <x:v>Other</x:v>
      </x:c>
      <x:c r="E182" s="156" t="n">
        <x:v>0.3</x:v>
      </x:c>
      <x:c r="F182" s="153" t="n">
        <x:f>SUMIFS('Brand Repository'!$L$2:$L$35,'Brand Repository'!$B$2:$B$35,$A182,'Brand Repository'!$C$2:$C$35,$B182)</x:f>
        <x:v>6.734999999999999</x:v>
      </x:c>
      <x:c r="G182" s="153" t="n">
        <x:f>E182*F182</x:f>
        <x:v>2.0204999999999997</x:v>
      </x:c>
      <x:c r="H182" s="148" t="str">
        <x:v>Modeled allocation; editable assumption, not retailer-reported.</x:v>
      </x:c>
    </x:row>
    <x:row r="183" ht="18" customHeight="1">
      <x:c r="A183" s="146" t="str">
        <x:v>CA</x:v>
      </x:c>
      <x:c r="B183" s="147" t="str">
        <x:v>Suavitel</x:v>
      </x:c>
      <x:c r="C183" s="147" t="str">
        <x:v>Home Care</x:v>
      </x:c>
      <x:c r="D183" s="147" t="str">
        <x:v>Walmart Canada</x:v>
      </x:c>
      <x:c r="E183" s="156" t="n">
        <x:v>0.22</x:v>
      </x:c>
      <x:c r="F183" s="153" t="n">
        <x:f>SUMIFS('Brand Repository'!$L$2:$L$35,'Brand Repository'!$B$2:$B$35,$A183,'Brand Repository'!$C$2:$C$35,$B183)</x:f>
        <x:v>4.49</x:v>
      </x:c>
      <x:c r="G183" s="153" t="n">
        <x:f>E183*F183</x:f>
        <x:v>0.9878</x:v>
      </x:c>
      <x:c r="H183" s="148" t="str">
        <x:v>Modeled allocation; editable assumption, not retailer-reported.</x:v>
      </x:c>
    </x:row>
    <x:row r="184" ht="18" customHeight="1">
      <x:c r="A184" s="146" t="str">
        <x:v>CA</x:v>
      </x:c>
      <x:c r="B184" s="147" t="str">
        <x:v>Suavitel</x:v>
      </x:c>
      <x:c r="C184" s="147" t="str">
        <x:v>Home Care</x:v>
      </x:c>
      <x:c r="D184" s="147" t="str">
        <x:v>Amazon Canada</x:v>
      </x:c>
      <x:c r="E184" s="156" t="n">
        <x:v>0.12</x:v>
      </x:c>
      <x:c r="F184" s="153" t="n">
        <x:f>SUMIFS('Brand Repository'!$L$2:$L$35,'Brand Repository'!$B$2:$B$35,$A184,'Brand Repository'!$C$2:$C$35,$B184)</x:f>
        <x:v>4.49</x:v>
      </x:c>
      <x:c r="G184" s="153" t="n">
        <x:f>E184*F184</x:f>
        <x:v>0.5388000000000001</x:v>
      </x:c>
      <x:c r="H184" s="148" t="str">
        <x:v>Modeled allocation; editable assumption, not retailer-reported.</x:v>
      </x:c>
    </x:row>
    <x:row r="185" ht="18" customHeight="1">
      <x:c r="A185" s="146" t="str">
        <x:v>CA</x:v>
      </x:c>
      <x:c r="B185" s="147" t="str">
        <x:v>Suavitel</x:v>
      </x:c>
      <x:c r="C185" s="147" t="str">
        <x:v>Home Care</x:v>
      </x:c>
      <x:c r="D185" s="147" t="str">
        <x:v>Loblaw/Shoppers</x:v>
      </x:c>
      <x:c r="E185" s="156" t="n">
        <x:v>0.12</x:v>
      </x:c>
      <x:c r="F185" s="153" t="n">
        <x:f>SUMIFS('Brand Repository'!$L$2:$L$35,'Brand Repository'!$B$2:$B$35,$A185,'Brand Repository'!$C$2:$C$35,$B185)</x:f>
        <x:v>4.49</x:v>
      </x:c>
      <x:c r="G185" s="153" t="n">
        <x:f>E185*F185</x:f>
        <x:v>0.5388000000000001</x:v>
      </x:c>
      <x:c r="H185" s="148" t="str">
        <x:v>Modeled allocation; editable assumption, not retailer-reported.</x:v>
      </x:c>
    </x:row>
    <x:row r="186" ht="18" customHeight="1">
      <x:c r="A186" s="146" t="str">
        <x:v>CA</x:v>
      </x:c>
      <x:c r="B186" s="147" t="str">
        <x:v>Suavitel</x:v>
      </x:c>
      <x:c r="C186" s="147" t="str">
        <x:v>Home Care</x:v>
      </x:c>
      <x:c r="D186" s="147" t="str">
        <x:v>Costco</x:v>
      </x:c>
      <x:c r="E186" s="156" t="n">
        <x:v>0.1</x:v>
      </x:c>
      <x:c r="F186" s="153" t="n">
        <x:f>SUMIFS('Brand Repository'!$L$2:$L$35,'Brand Repository'!$B$2:$B$35,$A186,'Brand Repository'!$C$2:$C$35,$B186)</x:f>
        <x:v>4.49</x:v>
      </x:c>
      <x:c r="G186" s="153" t="n">
        <x:f>E186*F186</x:f>
        <x:v>0.44900000000000007</x:v>
      </x:c>
      <x:c r="H186" s="148" t="str">
        <x:v>Modeled allocation; editable assumption, not retailer-reported.</x:v>
      </x:c>
    </x:row>
    <x:row r="187" ht="18" customHeight="1">
      <x:c r="A187" s="146" t="str">
        <x:v>CA</x:v>
      </x:c>
      <x:c r="B187" s="147" t="str">
        <x:v>Suavitel</x:v>
      </x:c>
      <x:c r="C187" s="147" t="str">
        <x:v>Home Care</x:v>
      </x:c>
      <x:c r="D187" s="147" t="str">
        <x:v>Specialty/grocery</x:v>
      </x:c>
      <x:c r="E187" s="156" t="n">
        <x:v>0.14</x:v>
      </x:c>
      <x:c r="F187" s="153" t="n">
        <x:f>SUMIFS('Brand Repository'!$L$2:$L$35,'Brand Repository'!$B$2:$B$35,$A187,'Brand Repository'!$C$2:$C$35,$B187)</x:f>
        <x:v>4.49</x:v>
      </x:c>
      <x:c r="G187" s="153" t="n">
        <x:f>E187*F187</x:f>
        <x:v>0.6286</x:v>
      </x:c>
      <x:c r="H187" s="148" t="str">
        <x:v>Modeled allocation; editable assumption, not retailer-reported.</x:v>
      </x:c>
    </x:row>
    <x:row r="188" ht="18" customHeight="1">
      <x:c r="A188" s="146" t="str">
        <x:v>CA</x:v>
      </x:c>
      <x:c r="B188" s="147" t="str">
        <x:v>Suavitel</x:v>
      </x:c>
      <x:c r="C188" s="147" t="str">
        <x:v>Home Care</x:v>
      </x:c>
      <x:c r="D188" s="147" t="str">
        <x:v>Other</x:v>
      </x:c>
      <x:c r="E188" s="156" t="n">
        <x:v>0.3</x:v>
      </x:c>
      <x:c r="F188" s="153" t="n">
        <x:f>SUMIFS('Brand Repository'!$L$2:$L$35,'Brand Repository'!$B$2:$B$35,$A188,'Brand Repository'!$C$2:$C$35,$B188)</x:f>
        <x:v>4.49</x:v>
      </x:c>
      <x:c r="G188" s="153" t="n">
        <x:f>E188*F188</x:f>
        <x:v>1.347</x:v>
      </x:c>
      <x:c r="H188" s="148" t="str">
        <x:v>Modeled allocation; editable assumption, not retailer-reported.</x:v>
      </x:c>
    </x:row>
    <x:row r="189" ht="18" customHeight="1">
      <x:c r="A189" s="146" t="str">
        <x:v>CA</x:v>
      </x:c>
      <x:c r="B189" s="147" t="str">
        <x:v>Tom's of Maine</x:v>
      </x:c>
      <x:c r="C189" s="147" t="str">
        <x:v>Oral Care</x:v>
      </x:c>
      <x:c r="D189" s="147" t="str">
        <x:v>Walmart Canada</x:v>
      </x:c>
      <x:c r="E189" s="156" t="n">
        <x:v>0.22</x:v>
      </x:c>
      <x:c r="F189" s="153" t="n">
        <x:f>SUMIFS('Brand Repository'!$L$2:$L$35,'Brand Repository'!$B$2:$B$35,$A189,'Brand Repository'!$C$2:$C$35,$B189)</x:f>
        <x:v>13.469999999999999</x:v>
      </x:c>
      <x:c r="G189" s="153" t="n">
        <x:f>E189*F189</x:f>
        <x:v>2.9633999999999996</x:v>
      </x:c>
      <x:c r="H189" s="148" t="str">
        <x:v>Modeled allocation; editable assumption, not retailer-reported.</x:v>
      </x:c>
    </x:row>
    <x:row r="190" ht="18" customHeight="1">
      <x:c r="A190" s="146" t="str">
        <x:v>CA</x:v>
      </x:c>
      <x:c r="B190" s="147" t="str">
        <x:v>Tom's of Maine</x:v>
      </x:c>
      <x:c r="C190" s="147" t="str">
        <x:v>Oral Care</x:v>
      </x:c>
      <x:c r="D190" s="147" t="str">
        <x:v>Amazon Canada</x:v>
      </x:c>
      <x:c r="E190" s="156" t="n">
        <x:v>0.12</x:v>
      </x:c>
      <x:c r="F190" s="153" t="n">
        <x:f>SUMIFS('Brand Repository'!$L$2:$L$35,'Brand Repository'!$B$2:$B$35,$A190,'Brand Repository'!$C$2:$C$35,$B190)</x:f>
        <x:v>13.469999999999999</x:v>
      </x:c>
      <x:c r="G190" s="153" t="n">
        <x:f>E190*F190</x:f>
        <x:v>1.6163999999999998</x:v>
      </x:c>
      <x:c r="H190" s="148" t="str">
        <x:v>Modeled allocation; editable assumption, not retailer-reported.</x:v>
      </x:c>
    </x:row>
    <x:row r="191" ht="18" customHeight="1">
      <x:c r="A191" s="146" t="str">
        <x:v>CA</x:v>
      </x:c>
      <x:c r="B191" s="147" t="str">
        <x:v>Tom's of Maine</x:v>
      </x:c>
      <x:c r="C191" s="147" t="str">
        <x:v>Oral Care</x:v>
      </x:c>
      <x:c r="D191" s="147" t="str">
        <x:v>Loblaw/Shoppers</x:v>
      </x:c>
      <x:c r="E191" s="156" t="n">
        <x:v>0.12</x:v>
      </x:c>
      <x:c r="F191" s="153" t="n">
        <x:f>SUMIFS('Brand Repository'!$L$2:$L$35,'Brand Repository'!$B$2:$B$35,$A191,'Brand Repository'!$C$2:$C$35,$B191)</x:f>
        <x:v>13.469999999999999</x:v>
      </x:c>
      <x:c r="G191" s="153" t="n">
        <x:f>E191*F191</x:f>
        <x:v>1.6163999999999998</x:v>
      </x:c>
      <x:c r="H191" s="148" t="str">
        <x:v>Modeled allocation; editable assumption, not retailer-reported.</x:v>
      </x:c>
    </x:row>
    <x:row r="192" ht="18" customHeight="1">
      <x:c r="A192" s="146" t="str">
        <x:v>CA</x:v>
      </x:c>
      <x:c r="B192" s="147" t="str">
        <x:v>Tom's of Maine</x:v>
      </x:c>
      <x:c r="C192" s="147" t="str">
        <x:v>Oral Care</x:v>
      </x:c>
      <x:c r="D192" s="147" t="str">
        <x:v>Costco</x:v>
      </x:c>
      <x:c r="E192" s="156" t="n">
        <x:v>0.1</x:v>
      </x:c>
      <x:c r="F192" s="153" t="n">
        <x:f>SUMIFS('Brand Repository'!$L$2:$L$35,'Brand Repository'!$B$2:$B$35,$A192,'Brand Repository'!$C$2:$C$35,$B192)</x:f>
        <x:v>13.469999999999999</x:v>
      </x:c>
      <x:c r="G192" s="153" t="n">
        <x:f>E192*F192</x:f>
        <x:v>1.347</x:v>
      </x:c>
      <x:c r="H192" s="148" t="str">
        <x:v>Modeled allocation; editable assumption, not retailer-reported.</x:v>
      </x:c>
    </x:row>
    <x:row r="193" ht="18" customHeight="1">
      <x:c r="A193" s="146" t="str">
        <x:v>CA</x:v>
      </x:c>
      <x:c r="B193" s="147" t="str">
        <x:v>Tom's of Maine</x:v>
      </x:c>
      <x:c r="C193" s="147" t="str">
        <x:v>Oral Care</x:v>
      </x:c>
      <x:c r="D193" s="147" t="str">
        <x:v>Specialty/grocery</x:v>
      </x:c>
      <x:c r="E193" s="156" t="n">
        <x:v>0.14</x:v>
      </x:c>
      <x:c r="F193" s="153" t="n">
        <x:f>SUMIFS('Brand Repository'!$L$2:$L$35,'Brand Repository'!$B$2:$B$35,$A193,'Brand Repository'!$C$2:$C$35,$B193)</x:f>
        <x:v>13.469999999999999</x:v>
      </x:c>
      <x:c r="G193" s="153" t="n">
        <x:f>E193*F193</x:f>
        <x:v>1.8858</x:v>
      </x:c>
      <x:c r="H193" s="148" t="str">
        <x:v>Modeled allocation; editable assumption, not retailer-reported.</x:v>
      </x:c>
    </x:row>
    <x:row r="194" ht="18" customHeight="1">
      <x:c r="A194" s="149" t="str">
        <x:v>CA</x:v>
      </x:c>
      <x:c r="B194" s="150" t="str">
        <x:v>Tom's of Maine</x:v>
      </x:c>
      <x:c r="C194" s="150" t="str">
        <x:v>Oral Care</x:v>
      </x:c>
      <x:c r="D194" s="150" t="str">
        <x:v>Other</x:v>
      </x:c>
      <x:c r="E194" s="157" t="n">
        <x:v>0.3</x:v>
      </x:c>
      <x:c r="F194" s="154" t="n">
        <x:f>SUMIFS('Brand Repository'!$L$2:$L$35,'Brand Repository'!$B$2:$B$35,$A194,'Brand Repository'!$C$2:$C$35,$B194)</x:f>
        <x:v>13.469999999999999</x:v>
      </x:c>
      <x:c r="G194" s="154" t="n">
        <x:f>E194*F194</x:f>
        <x:v>4.0409999999999995</x:v>
      </x:c>
      <x:c r="H194" s="151" t="str">
        <x:v>Modeled allocation; editable assumption, not retailer-reported.</x:v>
      </x:c>
    </x:row>
  </x:sheetData>
  <x:pageMargins left="0.7" right="0.7" top="0.75" bottom="0.75" header="0.3" footer="0.3"/>
  <x:tableParts count="1">
    <x:tablePart xmlns:r="http://schemas.openxmlformats.org/officeDocument/2006/relationships" r:id="Ra7e63997d087486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16" hidden="0" customWidth="1"/>
    <x:col min="4" max="4" width="17" hidden="0" customWidth="1"/>
    <x:col min="5" max="5" width="18" hidden="0" customWidth="1"/>
    <x:col min="6" max="6" width="12" hidden="0" customWidth="1"/>
    <x:col min="7" max="7" width="12" hidden="0" customWidth="1"/>
    <x:col min="8" max="8" width="14" hidden="0" customWidth="1"/>
    <x:col min="9" max="9" width="12" hidden="0" customWidth="1"/>
    <x:col min="10" max="10" width="19" hidden="0" customWidth="1"/>
    <x:col min="11" max="11" width="65" hidden="0" customWidth="1"/>
  </x:cols>
  <x:sheetData>
    <x:row r="1" ht="38" customHeight="1">
      <x:c r="A1" s="124" t="str">
        <x:v>Market</x:v>
      </x:c>
      <x:c r="B1" s="124" t="str">
        <x:v>Brand</x:v>
      </x:c>
      <x:c r="C1" s="124" t="str">
        <x:v>Pool Type</x:v>
      </x:c>
      <x:c r="D1" s="124" t="str">
        <x:v>Sales Pool USD M</x:v>
      </x:c>
      <x:c r="E1" s="124" t="str">
        <x:v>Brand Allocation %</x:v>
      </x:c>
      <x:c r="F1" s="124" t="str">
        <x:v>Low Factor</x:v>
      </x:c>
      <x:c r="G1" s="124" t="str">
        <x:v>High Factor</x:v>
      </x:c>
      <x:c r="H1" s="124" t="str">
        <x:v>In-Store %</x:v>
      </x:c>
      <x:c r="I1" s="124" t="str">
        <x:v>Online %</x:v>
      </x:c>
      <x:c r="J1" s="124" t="str">
        <x:v>Advertising Intensity</x:v>
      </x:c>
      <x:c r="K1" s="124" t="str">
        <x:v>Pool / Model Basis</x:v>
      </x:c>
    </x:row>
    <x:row r="2" ht="18" customHeight="1">
      <x:c r="A2" s="158" t="str">
        <x:v>USA</x:v>
      </x:c>
      <x:c r="B2" s="159" t="str">
        <x:v>Ajax</x:v>
      </x:c>
      <x:c r="C2" s="159" t="str">
        <x:v>OPHC</x:v>
      </x:c>
      <x:c r="D2" s="160" t="n">
        <x:v>3596</x:v>
      </x:c>
      <x:c r="E2" s="161" t="n">
        <x:v>0.03</x:v>
      </x:c>
      <x:c r="F2" s="161" t="n">
        <x:v>0.7</x:v>
      </x:c>
      <x:c r="G2" s="161" t="n">
        <x:v>1.3</x:v>
      </x:c>
      <x:c r="H2" s="161" t="n">
        <x:v>0.82</x:v>
      </x:c>
      <x:c r="I2" s="161" t="n">
        <x:v>0.18</x:v>
      </x:c>
      <x:c r="J2" s="161" t="n">
        <x:v>0.133</x:v>
      </x:c>
      <x:c r="K2" s="162" t="str">
        <x:v>2025 10-K reported U.S. net sales; 3% editable brand allocation; range +/-30%. Not brand-reported.</x:v>
      </x:c>
    </x:row>
    <x:row r="3" ht="18" customHeight="1">
      <x:c r="A3" s="163" t="str">
        <x:v>USA</x:v>
      </x:c>
      <x:c r="B3" s="164" t="str">
        <x:v>Colgate</x:v>
      </x:c>
      <x:c r="C3" s="164" t="str">
        <x:v>OPHC</x:v>
      </x:c>
      <x:c r="D3" s="165" t="n">
        <x:v>3596</x:v>
      </x:c>
      <x:c r="E3" s="166" t="n">
        <x:v>0.36</x:v>
      </x:c>
      <x:c r="F3" s="166" t="n">
        <x:v>0.7</x:v>
      </x:c>
      <x:c r="G3" s="166" t="n">
        <x:v>1.3</x:v>
      </x:c>
      <x:c r="H3" s="166" t="n">
        <x:v>0.8</x:v>
      </x:c>
      <x:c r="I3" s="166" t="n">
        <x:v>0.2</x:v>
      </x:c>
      <x:c r="J3" s="166" t="n">
        <x:v>0.133</x:v>
      </x:c>
      <x:c r="K3" s="167" t="str">
        <x:v>2025 10-K reported U.S. net sales; 36% editable brand allocation; range +/-30%. Not brand-reported.</x:v>
      </x:c>
    </x:row>
    <x:row r="4" ht="18" customHeight="1">
      <x:c r="A4" s="163" t="str">
        <x:v>USA</x:v>
      </x:c>
      <x:c r="B4" s="164" t="str">
        <x:v>EltaMD</x:v>
      </x:c>
      <x:c r="C4" s="164" t="str">
        <x:v>OPHC</x:v>
      </x:c>
      <x:c r="D4" s="165" t="n">
        <x:v>3596</x:v>
      </x:c>
      <x:c r="E4" s="166" t="n">
        <x:v>0.07</x:v>
      </x:c>
      <x:c r="F4" s="166" t="n">
        <x:v>0.7</x:v>
      </x:c>
      <x:c r="G4" s="166" t="n">
        <x:v>1.3</x:v>
      </x:c>
      <x:c r="H4" s="166" t="n">
        <x:v>0.35</x:v>
      </x:c>
      <x:c r="I4" s="166" t="n">
        <x:v>0.65</x:v>
      </x:c>
      <x:c r="J4" s="166" t="n">
        <x:v>0.133</x:v>
      </x:c>
      <x:c r="K4" s="167" t="str">
        <x:v>2025 10-K reported U.S. net sales; 7% editable brand allocation; range +/-30%. Not brand-reported.</x:v>
      </x:c>
    </x:row>
    <x:row r="5" ht="18" customHeight="1">
      <x:c r="A5" s="163" t="str">
        <x:v>USA</x:v>
      </x:c>
      <x:c r="B5" s="164" t="str">
        <x:v>Fabuloso</x:v>
      </x:c>
      <x:c r="C5" s="164" t="str">
        <x:v>OPHC</x:v>
      </x:c>
      <x:c r="D5" s="165" t="n">
        <x:v>3596</x:v>
      </x:c>
      <x:c r="E5" s="166" t="n">
        <x:v>0.08</x:v>
      </x:c>
      <x:c r="F5" s="166" t="n">
        <x:v>0.7</x:v>
      </x:c>
      <x:c r="G5" s="166" t="n">
        <x:v>1.3</x:v>
      </x:c>
      <x:c r="H5" s="166" t="n">
        <x:v>0.82</x:v>
      </x:c>
      <x:c r="I5" s="166" t="n">
        <x:v>0.18</x:v>
      </x:c>
      <x:c r="J5" s="166" t="n">
        <x:v>0.133</x:v>
      </x:c>
      <x:c r="K5" s="167" t="str">
        <x:v>2025 10-K reported U.S. net sales; 8% editable brand allocation; range +/-30%. Not brand-reported.</x:v>
      </x:c>
    </x:row>
    <x:row r="6" ht="18" customHeight="1">
      <x:c r="A6" s="163" t="str">
        <x:v>USA</x:v>
      </x:c>
      <x:c r="B6" s="164" t="str">
        <x:v>FILORGA</x:v>
      </x:c>
      <x:c r="C6" s="164" t="str">
        <x:v>OPHC</x:v>
      </x:c>
      <x:c r="D6" s="165" t="n">
        <x:v>3596</x:v>
      </x:c>
      <x:c r="E6" s="166" t="n">
        <x:v>0.02</x:v>
      </x:c>
      <x:c r="F6" s="166" t="n">
        <x:v>0.7</x:v>
      </x:c>
      <x:c r="G6" s="166" t="n">
        <x:v>1.3</x:v>
      </x:c>
      <x:c r="H6" s="166" t="n">
        <x:v>0.35</x:v>
      </x:c>
      <x:c r="I6" s="166" t="n">
        <x:v>0.65</x:v>
      </x:c>
      <x:c r="J6" s="166" t="n">
        <x:v>0.133</x:v>
      </x:c>
      <x:c r="K6" s="167" t="str">
        <x:v>2025 10-K reported U.S. net sales; 2% editable brand allocation; range +/-30%. Not brand-reported.</x:v>
      </x:c>
    </x:row>
    <x:row r="7" ht="18" customHeight="1">
      <x:c r="A7" s="163" t="str">
        <x:v>USA</x:v>
      </x:c>
      <x:c r="B7" s="164" t="str">
        <x:v>hello</x:v>
      </x:c>
      <x:c r="C7" s="164" t="str">
        <x:v>OPHC</x:v>
      </x:c>
      <x:c r="D7" s="165" t="n">
        <x:v>3596</x:v>
      </x:c>
      <x:c r="E7" s="166" t="n">
        <x:v>0.022000000000000002</x:v>
      </x:c>
      <x:c r="F7" s="166" t="n">
        <x:v>0.7</x:v>
      </x:c>
      <x:c r="G7" s="166" t="n">
        <x:v>1.3</x:v>
      </x:c>
      <x:c r="H7" s="166" t="n">
        <x:v>0.8</x:v>
      </x:c>
      <x:c r="I7" s="166" t="n">
        <x:v>0.2</x:v>
      </x:c>
      <x:c r="J7" s="166" t="n">
        <x:v>0.133</x:v>
      </x:c>
      <x:c r="K7" s="167" t="str">
        <x:v>2025 10-K reported U.S. net sales; 2.2% editable brand allocation; range +/-30%. Not brand-reported.</x:v>
      </x:c>
    </x:row>
    <x:row r="8" ht="18" customHeight="1">
      <x:c r="A8" s="163" t="str">
        <x:v>USA</x:v>
      </x:c>
      <x:c r="B8" s="164" t="str">
        <x:v>Hill's Prescription Diet</x:v>
      </x:c>
      <x:c r="C8" s="164" t="str">
        <x:v>Pet Nutrition</x:v>
      </x:c>
      <x:c r="D8" s="165" t="n">
        <x:v>3062</x:v>
      </x:c>
      <x:c r="E8" s="166" t="n">
        <x:v>0.35</x:v>
      </x:c>
      <x:c r="F8" s="166" t="n">
        <x:v>0.7</x:v>
      </x:c>
      <x:c r="G8" s="166" t="n">
        <x:v>1.3</x:v>
      </x:c>
      <x:c r="H8" s="166" t="n">
        <x:v>0.45</x:v>
      </x:c>
      <x:c r="I8" s="166" t="n">
        <x:v>0.55</x:v>
      </x:c>
      <x:c r="J8" s="166" t="n">
        <x:v>0.133</x:v>
      </x:c>
      <x:c r="K8" s="167" t="str">
        <x:v>2025 10-K reported U.S. net sales; 35% editable brand allocation; range +/-30%. Not brand-reported.</x:v>
      </x:c>
    </x:row>
    <x:row r="9" ht="18" customHeight="1">
      <x:c r="A9" s="163" t="str">
        <x:v>USA</x:v>
      </x:c>
      <x:c r="B9" s="164" t="str">
        <x:v>Hill's Science Diet</x:v>
      </x:c>
      <x:c r="C9" s="164" t="str">
        <x:v>Pet Nutrition</x:v>
      </x:c>
      <x:c r="D9" s="165" t="n">
        <x:v>3062</x:v>
      </x:c>
      <x:c r="E9" s="166" t="n">
        <x:v>0.65</x:v>
      </x:c>
      <x:c r="F9" s="166" t="n">
        <x:v>0.7</x:v>
      </x:c>
      <x:c r="G9" s="166" t="n">
        <x:v>1.3</x:v>
      </x:c>
      <x:c r="H9" s="166" t="n">
        <x:v>0.45</x:v>
      </x:c>
      <x:c r="I9" s="166" t="n">
        <x:v>0.55</x:v>
      </x:c>
      <x:c r="J9" s="166" t="n">
        <x:v>0.133</x:v>
      </x:c>
      <x:c r="K9" s="167" t="str">
        <x:v>2025 10-K reported U.S. net sales; 65% editable brand allocation; range +/-30%. Not brand-reported.</x:v>
      </x:c>
    </x:row>
    <x:row r="10" ht="18" customHeight="1">
      <x:c r="A10" s="163" t="str">
        <x:v>USA</x:v>
      </x:c>
      <x:c r="B10" s="164" t="str">
        <x:v>Irish Spring</x:v>
      </x:c>
      <x:c r="C10" s="164" t="str">
        <x:v>OPHC</x:v>
      </x:c>
      <x:c r="D10" s="165" t="n">
        <x:v>3596</x:v>
      </x:c>
      <x:c r="E10" s="166" t="n">
        <x:v>0.06</x:v>
      </x:c>
      <x:c r="F10" s="166" t="n">
        <x:v>0.7</x:v>
      </x:c>
      <x:c r="G10" s="166" t="n">
        <x:v>1.3</x:v>
      </x:c>
      <x:c r="H10" s="166" t="n">
        <x:v>0.85</x:v>
      </x:c>
      <x:c r="I10" s="166" t="n">
        <x:v>0.15</x:v>
      </x:c>
      <x:c r="J10" s="166" t="n">
        <x:v>0.133</x:v>
      </x:c>
      <x:c r="K10" s="167" t="str">
        <x:v>2025 10-K reported U.S. net sales; 6% editable brand allocation; range +/-30%. Not brand-reported.</x:v>
      </x:c>
    </x:row>
    <x:row r="11" ht="18" customHeight="1">
      <x:c r="A11" s="163" t="str">
        <x:v>USA</x:v>
      </x:c>
      <x:c r="B11" s="164" t="str">
        <x:v>Lady Speed Stick</x:v>
      </x:c>
      <x:c r="C11" s="164" t="str">
        <x:v>OPHC</x:v>
      </x:c>
      <x:c r="D11" s="165" t="n">
        <x:v>3596</x:v>
      </x:c>
      <x:c r="E11" s="166" t="n">
        <x:v>0.01</x:v>
      </x:c>
      <x:c r="F11" s="166" t="n">
        <x:v>0.7</x:v>
      </x:c>
      <x:c r="G11" s="166" t="n">
        <x:v>1.3</x:v>
      </x:c>
      <x:c r="H11" s="166" t="n">
        <x:v>0.85</x:v>
      </x:c>
      <x:c r="I11" s="166" t="n">
        <x:v>0.15</x:v>
      </x:c>
      <x:c r="J11" s="166" t="n">
        <x:v>0.133</x:v>
      </x:c>
      <x:c r="K11" s="167" t="str">
        <x:v>2025 10-K reported U.S. net sales; 1% editable brand allocation; range +/-30%. Not brand-reported.</x:v>
      </x:c>
    </x:row>
    <x:row r="12" ht="18" customHeight="1">
      <x:c r="A12" s="163" t="str">
        <x:v>USA</x:v>
      </x:c>
      <x:c r="B12" s="164" t="str">
        <x:v>Murphy Oil Soap</x:v>
      </x:c>
      <x:c r="C12" s="164" t="str">
        <x:v>OPHC</x:v>
      </x:c>
      <x:c r="D12" s="165" t="n">
        <x:v>3596</x:v>
      </x:c>
      <x:c r="E12" s="166" t="n">
        <x:v>0.015</x:v>
      </x:c>
      <x:c r="F12" s="166" t="n">
        <x:v>0.7</x:v>
      </x:c>
      <x:c r="G12" s="166" t="n">
        <x:v>1.3</x:v>
      </x:c>
      <x:c r="H12" s="166" t="n">
        <x:v>0.82</x:v>
      </x:c>
      <x:c r="I12" s="166" t="n">
        <x:v>0.18</x:v>
      </x:c>
      <x:c r="J12" s="166" t="n">
        <x:v>0.133</x:v>
      </x:c>
      <x:c r="K12" s="167" t="str">
        <x:v>2025 10-K reported U.S. net sales; 1.5% editable brand allocation; range +/-30%. Not brand-reported.</x:v>
      </x:c>
    </x:row>
    <x:row r="13" ht="18" customHeight="1">
      <x:c r="A13" s="163" t="str">
        <x:v>USA</x:v>
      </x:c>
      <x:c r="B13" s="164" t="str">
        <x:v>Palmolive</x:v>
      </x:c>
      <x:c r="C13" s="164" t="str">
        <x:v>OPHC</x:v>
      </x:c>
      <x:c r="D13" s="165" t="n">
        <x:v>3596</x:v>
      </x:c>
      <x:c r="E13" s="166" t="n">
        <x:v>0.06</x:v>
      </x:c>
      <x:c r="F13" s="166" t="n">
        <x:v>0.7</x:v>
      </x:c>
      <x:c r="G13" s="166" t="n">
        <x:v>1.3</x:v>
      </x:c>
      <x:c r="H13" s="166" t="n">
        <x:v>0.82</x:v>
      </x:c>
      <x:c r="I13" s="166" t="n">
        <x:v>0.18</x:v>
      </x:c>
      <x:c r="J13" s="166" t="n">
        <x:v>0.133</x:v>
      </x:c>
      <x:c r="K13" s="167" t="str">
        <x:v>2025 10-K reported U.S. net sales; 6% editable brand allocation; range +/-30%. Not brand-reported.</x:v>
      </x:c>
    </x:row>
    <x:row r="14" ht="18" customHeight="1">
      <x:c r="A14" s="163" t="str">
        <x:v>USA</x:v>
      </x:c>
      <x:c r="B14" s="164" t="str">
        <x:v>PCA SKIN</x:v>
      </x:c>
      <x:c r="C14" s="164" t="str">
        <x:v>OPHC</x:v>
      </x:c>
      <x:c r="D14" s="165" t="n">
        <x:v>3596</x:v>
      </x:c>
      <x:c r="E14" s="166" t="n">
        <x:v>0.035</x:v>
      </x:c>
      <x:c r="F14" s="166" t="n">
        <x:v>0.7</x:v>
      </x:c>
      <x:c r="G14" s="166" t="n">
        <x:v>1.3</x:v>
      </x:c>
      <x:c r="H14" s="166" t="n">
        <x:v>0.35</x:v>
      </x:c>
      <x:c r="I14" s="166" t="n">
        <x:v>0.65</x:v>
      </x:c>
      <x:c r="J14" s="166" t="n">
        <x:v>0.133</x:v>
      </x:c>
      <x:c r="K14" s="167" t="str">
        <x:v>2025 10-K reported U.S. net sales; 3.5% editable brand allocation; range +/-30%. Not brand-reported.</x:v>
      </x:c>
    </x:row>
    <x:row r="15" ht="18" customHeight="1">
      <x:c r="A15" s="163" t="str">
        <x:v>USA</x:v>
      </x:c>
      <x:c r="B15" s="164" t="str">
        <x:v>Softsoap</x:v>
      </x:c>
      <x:c r="C15" s="164" t="str">
        <x:v>OPHC</x:v>
      </x:c>
      <x:c r="D15" s="165" t="n">
        <x:v>3596</x:v>
      </x:c>
      <x:c r="E15" s="166" t="n">
        <x:v>0.08</x:v>
      </x:c>
      <x:c r="F15" s="166" t="n">
        <x:v>0.7</x:v>
      </x:c>
      <x:c r="G15" s="166" t="n">
        <x:v>1.3</x:v>
      </x:c>
      <x:c r="H15" s="166" t="n">
        <x:v>0.85</x:v>
      </x:c>
      <x:c r="I15" s="166" t="n">
        <x:v>0.15</x:v>
      </x:c>
      <x:c r="J15" s="166" t="n">
        <x:v>0.133</x:v>
      </x:c>
      <x:c r="K15" s="167" t="str">
        <x:v>2025 10-K reported U.S. net sales; 8% editable brand allocation; range +/-30%. Not brand-reported.</x:v>
      </x:c>
    </x:row>
    <x:row r="16" ht="18" customHeight="1">
      <x:c r="A16" s="163" t="str">
        <x:v>USA</x:v>
      </x:c>
      <x:c r="B16" s="164" t="str">
        <x:v>Speed Stick</x:v>
      </x:c>
      <x:c r="C16" s="164" t="str">
        <x:v>OPHC</x:v>
      </x:c>
      <x:c r="D16" s="165" t="n">
        <x:v>3596</x:v>
      </x:c>
      <x:c r="E16" s="166" t="n">
        <x:v>0.02</x:v>
      </x:c>
      <x:c r="F16" s="166" t="n">
        <x:v>0.7</x:v>
      </x:c>
      <x:c r="G16" s="166" t="n">
        <x:v>1.3</x:v>
      </x:c>
      <x:c r="H16" s="166" t="n">
        <x:v>0.85</x:v>
      </x:c>
      <x:c r="I16" s="166" t="n">
        <x:v>0.15</x:v>
      </x:c>
      <x:c r="J16" s="166" t="n">
        <x:v>0.133</x:v>
      </x:c>
      <x:c r="K16" s="167" t="str">
        <x:v>2025 10-K reported U.S. net sales; 2% editable brand allocation; range +/-30%. Not brand-reported.</x:v>
      </x:c>
    </x:row>
    <x:row r="17" ht="18" customHeight="1">
      <x:c r="A17" s="163" t="str">
        <x:v>USA</x:v>
      </x:c>
      <x:c r="B17" s="164" t="str">
        <x:v>Suavitel</x:v>
      </x:c>
      <x:c r="C17" s="164" t="str">
        <x:v>OPHC</x:v>
      </x:c>
      <x:c r="D17" s="165" t="n">
        <x:v>3596</x:v>
      </x:c>
      <x:c r="E17" s="166" t="n">
        <x:v>0.03</x:v>
      </x:c>
      <x:c r="F17" s="166" t="n">
        <x:v>0.7</x:v>
      </x:c>
      <x:c r="G17" s="166" t="n">
        <x:v>1.3</x:v>
      </x:c>
      <x:c r="H17" s="166" t="n">
        <x:v>0.82</x:v>
      </x:c>
      <x:c r="I17" s="166" t="n">
        <x:v>0.18</x:v>
      </x:c>
      <x:c r="J17" s="166" t="n">
        <x:v>0.133</x:v>
      </x:c>
      <x:c r="K17" s="167" t="str">
        <x:v>2025 10-K reported U.S. net sales; 3% editable brand allocation; range +/-30%. Not brand-reported.</x:v>
      </x:c>
    </x:row>
    <x:row r="18" ht="18" customHeight="1">
      <x:c r="A18" s="163" t="str">
        <x:v>USA</x:v>
      </x:c>
      <x:c r="B18" s="164" t="str">
        <x:v>Tom's of Maine</x:v>
      </x:c>
      <x:c r="C18" s="164" t="str">
        <x:v>OPHC</x:v>
      </x:c>
      <x:c r="D18" s="165" t="n">
        <x:v>3596</x:v>
      </x:c>
      <x:c r="E18" s="166" t="n">
        <x:v>0.048</x:v>
      </x:c>
      <x:c r="F18" s="166" t="n">
        <x:v>0.7</x:v>
      </x:c>
      <x:c r="G18" s="166" t="n">
        <x:v>1.3</x:v>
      </x:c>
      <x:c r="H18" s="166" t="n">
        <x:v>0.8</x:v>
      </x:c>
      <x:c r="I18" s="166" t="n">
        <x:v>0.2</x:v>
      </x:c>
      <x:c r="J18" s="166" t="n">
        <x:v>0.133</x:v>
      </x:c>
      <x:c r="K18" s="167" t="str">
        <x:v>2025 10-K reported U.S. net sales; 4.8% editable brand allocation; range +/-30%. Not brand-reported.</x:v>
      </x:c>
    </x:row>
    <x:row r="19" ht="18" customHeight="1">
      <x:c r="A19" s="163" t="str">
        <x:v>CA</x:v>
      </x:c>
      <x:c r="B19" s="164" t="str">
        <x:v>Colgate</x:v>
      </x:c>
      <x:c r="C19" s="164" t="str">
        <x:v>OPHC</x:v>
      </x:c>
      <x:c r="D19" s="165" t="n">
        <x:v>449</x:v>
      </x:c>
      <x:c r="E19" s="166" t="n">
        <x:v>0.38</x:v>
      </x:c>
      <x:c r="F19" s="166" t="n">
        <x:v>0.7</x:v>
      </x:c>
      <x:c r="G19" s="166" t="n">
        <x:v>1.3</x:v>
      </x:c>
      <x:c r="H19" s="166" t="n">
        <x:v>0.82</x:v>
      </x:c>
      <x:c r="I19" s="166" t="n">
        <x:v>0.18</x:v>
      </x:c>
      <x:c r="J19" s="166" t="n">
        <x:v>0.133</x:v>
      </x:c>
      <x:c r="K19" s="167" t="str">
        <x:v>OPHC = reported North America less reported U.S.; Pet is a population/category proxy; 38% editable brand allocation; range +/-30%. Not brand-reported.</x:v>
      </x:c>
    </x:row>
    <x:row r="20" ht="18" customHeight="1">
      <x:c r="A20" s="163" t="str">
        <x:v>CA</x:v>
      </x:c>
      <x:c r="B20" s="164" t="str">
        <x:v>EltaMD</x:v>
      </x:c>
      <x:c r="C20" s="164" t="str">
        <x:v>OPHC</x:v>
      </x:c>
      <x:c r="D20" s="165" t="n">
        <x:v>449</x:v>
      </x:c>
      <x:c r="E20" s="166" t="n">
        <x:v>0.04</x:v>
      </x:c>
      <x:c r="F20" s="166" t="n">
        <x:v>0.7</x:v>
      </x:c>
      <x:c r="G20" s="166" t="n">
        <x:v>1.3</x:v>
      </x:c>
      <x:c r="H20" s="166" t="n">
        <x:v>0.4</x:v>
      </x:c>
      <x:c r="I20" s="166" t="n">
        <x:v>0.6</x:v>
      </x:c>
      <x:c r="J20" s="166" t="n">
        <x:v>0.133</x:v>
      </x:c>
      <x:c r="K20" s="167" t="str">
        <x:v>OPHC = reported North America less reported U.S.; Pet is a population/category proxy; 4% editable brand allocation; range +/-30%. Not brand-reported.</x:v>
      </x:c>
    </x:row>
    <x:row r="21" ht="18" customHeight="1">
      <x:c r="A21" s="163" t="str">
        <x:v>CA</x:v>
      </x:c>
      <x:c r="B21" s="164" t="str">
        <x:v>Fabuloso</x:v>
      </x:c>
      <x:c r="C21" s="164" t="str">
        <x:v>OPHC</x:v>
      </x:c>
      <x:c r="D21" s="165" t="n">
        <x:v>449</x:v>
      </x:c>
      <x:c r="E21" s="166" t="n">
        <x:v>0.02</x:v>
      </x:c>
      <x:c r="F21" s="166" t="n">
        <x:v>0.7</x:v>
      </x:c>
      <x:c r="G21" s="166" t="n">
        <x:v>1.3</x:v>
      </x:c>
      <x:c r="H21" s="166" t="n">
        <x:v>0.85</x:v>
      </x:c>
      <x:c r="I21" s="166" t="n">
        <x:v>0.15</x:v>
      </x:c>
      <x:c r="J21" s="166" t="n">
        <x:v>0.133</x:v>
      </x:c>
      <x:c r="K21" s="167" t="str">
        <x:v>OPHC = reported North America less reported U.S.; Pet is a population/category proxy; 2% editable brand allocation; range +/-30%. Not brand-reported.</x:v>
      </x:c>
    </x:row>
    <x:row r="22" ht="18" customHeight="1">
      <x:c r="A22" s="163" t="str">
        <x:v>CA</x:v>
      </x:c>
      <x:c r="B22" s="164" t="str">
        <x:v>FILORGA</x:v>
      </x:c>
      <x:c r="C22" s="164" t="str">
        <x:v>OPHC</x:v>
      </x:c>
      <x:c r="D22" s="165" t="n">
        <x:v>449</x:v>
      </x:c>
      <x:c r="E22" s="166" t="n">
        <x:v>0.015</x:v>
      </x:c>
      <x:c r="F22" s="166" t="n">
        <x:v>0.7</x:v>
      </x:c>
      <x:c r="G22" s="166" t="n">
        <x:v>1.3</x:v>
      </x:c>
      <x:c r="H22" s="166" t="n">
        <x:v>0.4</x:v>
      </x:c>
      <x:c r="I22" s="166" t="n">
        <x:v>0.6</x:v>
      </x:c>
      <x:c r="J22" s="166" t="n">
        <x:v>0.133</x:v>
      </x:c>
      <x:c r="K22" s="167" t="str">
        <x:v>OPHC = reported North America less reported U.S.; Pet is a population/category proxy; 1.5% editable brand allocation; range +/-30%. Not brand-reported.</x:v>
      </x:c>
    </x:row>
    <x:row r="23" ht="18" customHeight="1">
      <x:c r="A23" s="163" t="str">
        <x:v>CA</x:v>
      </x:c>
      <x:c r="B23" s="164" t="str">
        <x:v>Fleecy</x:v>
      </x:c>
      <x:c r="C23" s="164" t="str">
        <x:v>OPHC</x:v>
      </x:c>
      <x:c r="D23" s="165" t="n">
        <x:v>449</x:v>
      </x:c>
      <x:c r="E23" s="166" t="n">
        <x:v>0.06</x:v>
      </x:c>
      <x:c r="F23" s="166" t="n">
        <x:v>0.7</x:v>
      </x:c>
      <x:c r="G23" s="166" t="n">
        <x:v>1.3</x:v>
      </x:c>
      <x:c r="H23" s="166" t="n">
        <x:v>0.85</x:v>
      </x:c>
      <x:c r="I23" s="166" t="n">
        <x:v>0.15</x:v>
      </x:c>
      <x:c r="J23" s="166" t="n">
        <x:v>0.133</x:v>
      </x:c>
      <x:c r="K23" s="167" t="str">
        <x:v>OPHC = reported North America less reported U.S.; Pet is a population/category proxy; 6% editable brand allocation; range +/-30%. Not brand-reported.</x:v>
      </x:c>
    </x:row>
    <x:row r="24" ht="18" customHeight="1">
      <x:c r="A24" s="163" t="str">
        <x:v>CA</x:v>
      </x:c>
      <x:c r="B24" s="164" t="str">
        <x:v>hello</x:v>
      </x:c>
      <x:c r="C24" s="164" t="str">
        <x:v>OPHC</x:v>
      </x:c>
      <x:c r="D24" s="165" t="n">
        <x:v>449</x:v>
      </x:c>
      <x:c r="E24" s="166" t="n">
        <x:v>0.015</x:v>
      </x:c>
      <x:c r="F24" s="166" t="n">
        <x:v>0.7</x:v>
      </x:c>
      <x:c r="G24" s="166" t="n">
        <x:v>1.3</x:v>
      </x:c>
      <x:c r="H24" s="166" t="n">
        <x:v>0.82</x:v>
      </x:c>
      <x:c r="I24" s="166" t="n">
        <x:v>0.18</x:v>
      </x:c>
      <x:c r="J24" s="166" t="n">
        <x:v>0.133</x:v>
      </x:c>
      <x:c r="K24" s="167" t="str">
        <x:v>OPHC = reported North America less reported U.S.; Pet is a population/category proxy; 1.5% editable brand allocation; range +/-30%. Not brand-reported.</x:v>
      </x:c>
    </x:row>
    <x:row r="25" ht="18" customHeight="1">
      <x:c r="A25" s="163" t="str">
        <x:v>CA</x:v>
      </x:c>
      <x:c r="B25" s="164" t="str">
        <x:v>Hill's Prescription Diet</x:v>
      </x:c>
      <x:c r="C25" s="164" t="str">
        <x:v>Pet Nutrition</x:v>
      </x:c>
      <x:c r="D25" s="165" t="n">
        <x:v>280</x:v>
      </x:c>
      <x:c r="E25" s="166" t="n">
        <x:v>0.35</x:v>
      </x:c>
      <x:c r="F25" s="166" t="n">
        <x:v>0.7</x:v>
      </x:c>
      <x:c r="G25" s="166" t="n">
        <x:v>1.3</x:v>
      </x:c>
      <x:c r="H25" s="166" t="n">
        <x:v>0.5</x:v>
      </x:c>
      <x:c r="I25" s="166" t="n">
        <x:v>0.5</x:v>
      </x:c>
      <x:c r="J25" s="166" t="n">
        <x:v>0.133</x:v>
      </x:c>
      <x:c r="K25" s="167" t="str">
        <x:v>OPHC = reported North America less reported U.S.; Pet is a population/category proxy; 35% editable brand allocation; range +/-30%. Not brand-reported.</x:v>
      </x:c>
    </x:row>
    <x:row r="26" ht="18" customHeight="1">
      <x:c r="A26" s="163" t="str">
        <x:v>CA</x:v>
      </x:c>
      <x:c r="B26" s="164" t="str">
        <x:v>Hill's Science Diet</x:v>
      </x:c>
      <x:c r="C26" s="164" t="str">
        <x:v>Pet Nutrition</x:v>
      </x:c>
      <x:c r="D26" s="165" t="n">
        <x:v>280</x:v>
      </x:c>
      <x:c r="E26" s="166" t="n">
        <x:v>0.65</x:v>
      </x:c>
      <x:c r="F26" s="166" t="n">
        <x:v>0.7</x:v>
      </x:c>
      <x:c r="G26" s="166" t="n">
        <x:v>1.3</x:v>
      </x:c>
      <x:c r="H26" s="166" t="n">
        <x:v>0.5</x:v>
      </x:c>
      <x:c r="I26" s="166" t="n">
        <x:v>0.5</x:v>
      </x:c>
      <x:c r="J26" s="166" t="n">
        <x:v>0.133</x:v>
      </x:c>
      <x:c r="K26" s="167" t="str">
        <x:v>OPHC = reported North America less reported U.S.; Pet is a population/category proxy; 65% editable brand allocation; range +/-30%. Not brand-reported.</x:v>
      </x:c>
    </x:row>
    <x:row r="27" ht="18" customHeight="1">
      <x:c r="A27" s="163" t="str">
        <x:v>CA</x:v>
      </x:c>
      <x:c r="B27" s="164" t="str">
        <x:v>Irish Spring</x:v>
      </x:c>
      <x:c r="C27" s="164" t="str">
        <x:v>OPHC</x:v>
      </x:c>
      <x:c r="D27" s="165" t="n">
        <x:v>449</x:v>
      </x:c>
      <x:c r="E27" s="166" t="n">
        <x:v>0.05</x:v>
      </x:c>
      <x:c r="F27" s="166" t="n">
        <x:v>0.7</x:v>
      </x:c>
      <x:c r="G27" s="166" t="n">
        <x:v>1.3</x:v>
      </x:c>
      <x:c r="H27" s="166" t="n">
        <x:v>0.87</x:v>
      </x:c>
      <x:c r="I27" s="166" t="n">
        <x:v>0.13</x:v>
      </x:c>
      <x:c r="J27" s="166" t="n">
        <x:v>0.133</x:v>
      </x:c>
      <x:c r="K27" s="167" t="str">
        <x:v>OPHC = reported North America less reported U.S.; Pet is a population/category proxy; 5% editable brand allocation; range +/-30%. Not brand-reported.</x:v>
      </x:c>
    </x:row>
    <x:row r="28" ht="18" customHeight="1">
      <x:c r="A28" s="163" t="str">
        <x:v>CA</x:v>
      </x:c>
      <x:c r="B28" s="164" t="str">
        <x:v>Lady Speed Stick</x:v>
      </x:c>
      <x:c r="C28" s="164" t="str">
        <x:v>OPHC</x:v>
      </x:c>
      <x:c r="D28" s="165" t="n">
        <x:v>449</x:v>
      </x:c>
      <x:c r="E28" s="166" t="n">
        <x:v>0.008</x:v>
      </x:c>
      <x:c r="F28" s="166" t="n">
        <x:v>0.7</x:v>
      </x:c>
      <x:c r="G28" s="166" t="n">
        <x:v>1.3</x:v>
      </x:c>
      <x:c r="H28" s="166" t="n">
        <x:v>0.87</x:v>
      </x:c>
      <x:c r="I28" s="166" t="n">
        <x:v>0.13</x:v>
      </x:c>
      <x:c r="J28" s="166" t="n">
        <x:v>0.133</x:v>
      </x:c>
      <x:c r="K28" s="167" t="str">
        <x:v>OPHC = reported North America less reported U.S.; Pet is a population/category proxy; 0.8% editable brand allocation; range +/-30%. Not brand-reported.</x:v>
      </x:c>
    </x:row>
    <x:row r="29" ht="18" customHeight="1">
      <x:c r="A29" s="163" t="str">
        <x:v>CA</x:v>
      </x:c>
      <x:c r="B29" s="164" t="str">
        <x:v>Murphy Oil Soap</x:v>
      </x:c>
      <x:c r="C29" s="164" t="str">
        <x:v>OPHC</x:v>
      </x:c>
      <x:c r="D29" s="165" t="n">
        <x:v>449</x:v>
      </x:c>
      <x:c r="E29" s="166" t="n">
        <x:v>0.005</x:v>
      </x:c>
      <x:c r="F29" s="166" t="n">
        <x:v>0.7</x:v>
      </x:c>
      <x:c r="G29" s="166" t="n">
        <x:v>1.3</x:v>
      </x:c>
      <x:c r="H29" s="166" t="n">
        <x:v>0.85</x:v>
      </x:c>
      <x:c r="I29" s="166" t="n">
        <x:v>0.15</x:v>
      </x:c>
      <x:c r="J29" s="166" t="n">
        <x:v>0.133</x:v>
      </x:c>
      <x:c r="K29" s="167" t="str">
        <x:v>OPHC = reported North America less reported U.S.; Pet is a population/category proxy; 0.5% editable brand allocation; range +/-30%. Not brand-reported.</x:v>
      </x:c>
    </x:row>
    <x:row r="30" ht="18" customHeight="1">
      <x:c r="A30" s="163" t="str">
        <x:v>CA</x:v>
      </x:c>
      <x:c r="B30" s="164" t="str">
        <x:v>Palmolive</x:v>
      </x:c>
      <x:c r="C30" s="164" t="str">
        <x:v>OPHC</x:v>
      </x:c>
      <x:c r="D30" s="165" t="n">
        <x:v>449</x:v>
      </x:c>
      <x:c r="E30" s="166" t="n">
        <x:v>0.09</x:v>
      </x:c>
      <x:c r="F30" s="166" t="n">
        <x:v>0.7</x:v>
      </x:c>
      <x:c r="G30" s="166" t="n">
        <x:v>1.3</x:v>
      </x:c>
      <x:c r="H30" s="166" t="n">
        <x:v>0.85</x:v>
      </x:c>
      <x:c r="I30" s="166" t="n">
        <x:v>0.15</x:v>
      </x:c>
      <x:c r="J30" s="166" t="n">
        <x:v>0.133</x:v>
      </x:c>
      <x:c r="K30" s="167" t="str">
        <x:v>OPHC = reported North America less reported U.S.; Pet is a population/category proxy; 9% editable brand allocation; range +/-30%. Not brand-reported.</x:v>
      </x:c>
    </x:row>
    <x:row r="31" ht="18" customHeight="1">
      <x:c r="A31" s="163" t="str">
        <x:v>CA</x:v>
      </x:c>
      <x:c r="B31" s="164" t="str">
        <x:v>PCA SKIN</x:v>
      </x:c>
      <x:c r="C31" s="164" t="str">
        <x:v>OPHC</x:v>
      </x:c>
      <x:c r="D31" s="165" t="n">
        <x:v>449</x:v>
      </x:c>
      <x:c r="E31" s="166" t="n">
        <x:v>0.02</x:v>
      </x:c>
      <x:c r="F31" s="166" t="n">
        <x:v>0.7</x:v>
      </x:c>
      <x:c r="G31" s="166" t="n">
        <x:v>1.3</x:v>
      </x:c>
      <x:c r="H31" s="166" t="n">
        <x:v>0.4</x:v>
      </x:c>
      <x:c r="I31" s="166" t="n">
        <x:v>0.6</x:v>
      </x:c>
      <x:c r="J31" s="166" t="n">
        <x:v>0.133</x:v>
      </x:c>
      <x:c r="K31" s="167" t="str">
        <x:v>OPHC = reported North America less reported U.S.; Pet is a population/category proxy; 2% editable brand allocation; range +/-30%. Not brand-reported.</x:v>
      </x:c>
    </x:row>
    <x:row r="32" ht="18" customHeight="1">
      <x:c r="A32" s="163" t="str">
        <x:v>CA</x:v>
      </x:c>
      <x:c r="B32" s="164" t="str">
        <x:v>Softsoap</x:v>
      </x:c>
      <x:c r="C32" s="164" t="str">
        <x:v>OPHC</x:v>
      </x:c>
      <x:c r="D32" s="165" t="n">
        <x:v>449</x:v>
      </x:c>
      <x:c r="E32" s="166" t="n">
        <x:v>0.07</x:v>
      </x:c>
      <x:c r="F32" s="166" t="n">
        <x:v>0.7</x:v>
      </x:c>
      <x:c r="G32" s="166" t="n">
        <x:v>1.3</x:v>
      </x:c>
      <x:c r="H32" s="166" t="n">
        <x:v>0.87</x:v>
      </x:c>
      <x:c r="I32" s="166" t="n">
        <x:v>0.13</x:v>
      </x:c>
      <x:c r="J32" s="166" t="n">
        <x:v>0.133</x:v>
      </x:c>
      <x:c r="K32" s="167" t="str">
        <x:v>OPHC = reported North America less reported U.S.; Pet is a population/category proxy; 7% editable brand allocation; range +/-30%. Not brand-reported.</x:v>
      </x:c>
    </x:row>
    <x:row r="33" ht="18" customHeight="1">
      <x:c r="A33" s="163" t="str">
        <x:v>CA</x:v>
      </x:c>
      <x:c r="B33" s="164" t="str">
        <x:v>Speed Stick</x:v>
      </x:c>
      <x:c r="C33" s="164" t="str">
        <x:v>OPHC</x:v>
      </x:c>
      <x:c r="D33" s="165" t="n">
        <x:v>449</x:v>
      </x:c>
      <x:c r="E33" s="166" t="n">
        <x:v>0.015</x:v>
      </x:c>
      <x:c r="F33" s="166" t="n">
        <x:v>0.7</x:v>
      </x:c>
      <x:c r="G33" s="166" t="n">
        <x:v>1.3</x:v>
      </x:c>
      <x:c r="H33" s="166" t="n">
        <x:v>0.87</x:v>
      </x:c>
      <x:c r="I33" s="166" t="n">
        <x:v>0.13</x:v>
      </x:c>
      <x:c r="J33" s="166" t="n">
        <x:v>0.133</x:v>
      </x:c>
      <x:c r="K33" s="167" t="str">
        <x:v>OPHC = reported North America less reported U.S.; Pet is a population/category proxy; 1.5% editable brand allocation; range +/-30%. Not brand-reported.</x:v>
      </x:c>
    </x:row>
    <x:row r="34" ht="18" customHeight="1">
      <x:c r="A34" s="163" t="str">
        <x:v>CA</x:v>
      </x:c>
      <x:c r="B34" s="164" t="str">
        <x:v>Suavitel</x:v>
      </x:c>
      <x:c r="C34" s="164" t="str">
        <x:v>OPHC</x:v>
      </x:c>
      <x:c r="D34" s="165" t="n">
        <x:v>449</x:v>
      </x:c>
      <x:c r="E34" s="166" t="n">
        <x:v>0.01</x:v>
      </x:c>
      <x:c r="F34" s="166" t="n">
        <x:v>0.7</x:v>
      </x:c>
      <x:c r="G34" s="166" t="n">
        <x:v>1.3</x:v>
      </x:c>
      <x:c r="H34" s="166" t="n">
        <x:v>0.85</x:v>
      </x:c>
      <x:c r="I34" s="166" t="n">
        <x:v>0.15</x:v>
      </x:c>
      <x:c r="J34" s="166" t="n">
        <x:v>0.133</x:v>
      </x:c>
      <x:c r="K34" s="167" t="str">
        <x:v>OPHC = reported North America less reported U.S.; Pet is a population/category proxy; 1% editable brand allocation; range +/-30%. Not brand-reported.</x:v>
      </x:c>
    </x:row>
    <x:row r="35" ht="18" customHeight="1">
      <x:c r="A35" s="168" t="str">
        <x:v>CA</x:v>
      </x:c>
      <x:c r="B35" s="169" t="str">
        <x:v>Tom's of Maine</x:v>
      </x:c>
      <x:c r="C35" s="169" t="str">
        <x:v>OPHC</x:v>
      </x:c>
      <x:c r="D35" s="170" t="n">
        <x:v>449</x:v>
      </x:c>
      <x:c r="E35" s="171" t="n">
        <x:v>0.03</x:v>
      </x:c>
      <x:c r="F35" s="171" t="n">
        <x:v>0.7</x:v>
      </x:c>
      <x:c r="G35" s="171" t="n">
        <x:v>1.3</x:v>
      </x:c>
      <x:c r="H35" s="171" t="n">
        <x:v>0.82</x:v>
      </x:c>
      <x:c r="I35" s="171" t="n">
        <x:v>0.18</x:v>
      </x:c>
      <x:c r="J35" s="171" t="n">
        <x:v>0.133</x:v>
      </x:c>
      <x:c r="K35" s="172" t="str">
        <x:v>OPHC = reported North America less reported U.S.; Pet is a population/category proxy; 3% editable brand allocation; range +/-30%. Not brand-reported.</x:v>
      </x:c>
    </x:row>
  </x:sheetData>
  <x:pageMargins left="0.7" right="0.7" top="0.75" bottom="0.75" header="0.3" footer="0.3"/>
  <x:tableParts count="1">
    <x:tablePart xmlns:r="http://schemas.openxmlformats.org/officeDocument/2006/relationships" r:id="R909f4df940ea4e8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70" hidden="0" customWidth="1"/>
    <x:col min="3" max="3" width="25" hidden="0" customWidth="1"/>
    <x:col min="4" max="4" width="25" hidden="0" customWidth="1"/>
    <x:col min="5" max="5" width="65" hidden="0" customWidth="1"/>
    <x:col min="6" max="6" width="50" hidden="0" customWidth="1"/>
    <x:col min="7" max="7" width="14" hidden="0" customWidth="1"/>
  </x:cols>
  <x:sheetData>
    <x:row r="1" ht="38" customHeight="1">
      <x:c r="A1" s="124" t="str">
        <x:v>Source ID</x:v>
      </x:c>
      <x:c r="B1" s="124" t="str">
        <x:v>Source URL</x:v>
      </x:c>
      <x:c r="C1" s="124" t="str">
        <x:v>Source Type</x:v>
      </x:c>
      <x:c r="D1" s="124" t="str">
        <x:v>Evidence Tier</x:v>
      </x:c>
      <x:c r="E1" s="124" t="str">
        <x:v>Claim Supported</x:v>
      </x:c>
      <x:c r="F1" s="124" t="str">
        <x:v>Used In</x:v>
      </x:c>
      <x:c r="G1" s="124" t="str">
        <x:v>Captured Date</x:v>
      </x:c>
    </x:row>
    <x:row r="2" ht="18" customHeight="1">
      <x:c r="A2" s="158" t="str">
        <x:v>SRC-0001</x:v>
      </x:c>
      <x:c r="B2" s="159" t="str">
        <x:v>https://api.fda.gov/drug/ndc.json?search=labeler_name:%22Colgate-Palmolive%20Company%22&amp;limit=1000</x:v>
      </x:c>
      <x:c r="C2" s="159" t="str">
        <x:v>openFDA NDC Directory</x:v>
      </x:c>
      <x:c r="D2" s="159" t="str">
        <x:v>Tier 1 - U.S. government directory</x:v>
      </x:c>
      <x:c r="E2" s="159" t="str">
        <x:v>USA Colgate: COLGATE 2IN1 ICY BLAST</x:v>
      </x:c>
      <x:c r="F2" s="159" t="str">
        <x:v>SKU Library</x:v>
      </x:c>
      <x:c r="G2" s="162" t="str">
        <x:v>2026-08-31</x:v>
      </x:c>
    </x:row>
    <x:row r="3" ht="18" customHeight="1">
      <x:c r="A3" s="163" t="str">
        <x:v>SRC-0002</x:v>
      </x:c>
      <x:c r="B3" s="164" t="str">
        <x:v>https://beautysense.ca/brands/pca-skin.html</x:v>
      </x:c>
      <x:c r="C3" s="164" t="str">
        <x:v>Current retailer product page</x:v>
      </x:c>
      <x:c r="D3" s="164" t="str">
        <x:v>Tier 2 - retailer</x:v>
      </x:c>
      <x:c r="E3" s="164" t="str">
        <x:v>CA PCA SKIN: Transform Your Skin with PCA Skin Products - Beautysense.ca</x:v>
      </x:c>
      <x:c r="F3" s="164" t="str">
        <x:v>SKU Library</x:v>
      </x:c>
      <x:c r="G3" s="167" t="str">
        <x:v>2026-08-31</x:v>
      </x:c>
    </x:row>
    <x:row r="4" ht="18" customHeight="1">
      <x:c r="A4" s="163" t="str">
        <x:v>SRC-0003</x:v>
      </x:c>
      <x:c r="B4" s="164" t="str">
        <x:v>https://beautysense.ca/filorga-global-repair-advanced-elixir.html</x:v>
      </x:c>
      <x:c r="C4" s="164" t="str">
        <x:v>Current retailer product page</x:v>
      </x:c>
      <x:c r="D4" s="164" t="str">
        <x:v>Tier 2 - retailer</x:v>
      </x:c>
      <x:c r="E4" s="164" t="str">
        <x:v>CA FILORGA: Filorga Global-Repair Advanced Elixir | Beautysense.ca</x:v>
      </x:c>
      <x:c r="F4" s="164" t="str">
        <x:v>SKU Library</x:v>
      </x:c>
      <x:c r="G4" s="167" t="str">
        <x:v>2026-08-31</x:v>
      </x:c>
    </x:row>
    <x:row r="5" ht="18" customHeight="1">
      <x:c r="A5" s="163" t="str">
        <x:v>SRC-0004</x:v>
      </x:c>
      <x:c r="B5" s="164" t="str">
        <x:v>https://beautysense.ca/filorga-hydra-hyal-serum.html</x:v>
      </x:c>
      <x:c r="C5" s="164" t="str">
        <x:v>Current retailer product page</x:v>
      </x:c>
      <x:c r="D5" s="164" t="str">
        <x:v>Tier 2 - retailer</x:v>
      </x:c>
      <x:c r="E5" s="164" t="str">
        <x:v>CA FILORGA: Filorga Hydra-Hyal Serum</x:v>
      </x:c>
      <x:c r="F5" s="164" t="str">
        <x:v>SKU Library</x:v>
      </x:c>
      <x:c r="G5" s="167" t="str">
        <x:v>2026-08-31</x:v>
      </x:c>
    </x:row>
    <x:row r="6" ht="18" customHeight="1">
      <x:c r="A6" s="163" t="str">
        <x:v>SRC-0005</x:v>
      </x:c>
      <x:c r="B6" s="164" t="str">
        <x:v>https://beautysense.ca/filorga-time-filler-5xp-cream.html</x:v>
      </x:c>
      <x:c r="C6" s="164" t="str">
        <x:v>Current retailer product page</x:v>
      </x:c>
      <x:c r="D6" s="164" t="str">
        <x:v>Tier 2 - retailer</x:v>
      </x:c>
      <x:c r="E6" s="164" t="str">
        <x:v>CA FILORGA: Filorga Time-Filler 5XP Cream</x:v>
      </x:c>
      <x:c r="F6" s="164" t="str">
        <x:v>SKU Library</x:v>
      </x:c>
      <x:c r="G6" s="167" t="str">
        <x:v>2026-08-31</x:v>
      </x:c>
    </x:row>
    <x:row r="7" ht="18" customHeight="1">
      <x:c r="A7" s="163" t="str">
        <x:v>SRC-0006</x:v>
      </x:c>
      <x:c r="B7" s="164" t="str">
        <x:v>https://beautysense.ca/filorga-time-filler-5xp-gel-cream.html</x:v>
      </x:c>
      <x:c r="C7" s="164" t="str">
        <x:v>Current retailer product page</x:v>
      </x:c>
      <x:c r="D7" s="164" t="str">
        <x:v>Tier 2 - retailer</x:v>
      </x:c>
      <x:c r="E7" s="164" t="str">
        <x:v>CA FILORGA: Filorga Time-Filler 5XP Gel-Cream</x:v>
      </x:c>
      <x:c r="F7" s="164" t="str">
        <x:v>SKU Library</x:v>
      </x:c>
      <x:c r="G7" s="167" t="str">
        <x:v>2026-08-31</x:v>
      </x:c>
    </x:row>
    <x:row r="8" ht="18" customHeight="1">
      <x:c r="A8" s="163" t="str">
        <x:v>SRC-0007</x:v>
      </x:c>
      <x:c r="B8" s="164" t="str">
        <x:v>https://beautysense.ca/filorga-time-filler-essence-smoothing-lotion.html</x:v>
      </x:c>
      <x:c r="C8" s="164" t="str">
        <x:v>Current retailer product page</x:v>
      </x:c>
      <x:c r="D8" s="164" t="str">
        <x:v>Tier 2 - retailer</x:v>
      </x:c>
      <x:c r="E8" s="164" t="str">
        <x:v>CA FILORGA: Filorga Time-Filler Essence Smoothing Lotion | Beautysense.ca</x:v>
      </x:c>
      <x:c r="F8" s="164" t="str">
        <x:v>SKU Library</x:v>
      </x:c>
      <x:c r="G8" s="167" t="str">
        <x:v>2026-08-31</x:v>
      </x:c>
    </x:row>
    <x:row r="9" ht="18" customHeight="1">
      <x:c r="A9" s="163" t="str">
        <x:v>SRC-0008</x:v>
      </x:c>
      <x:c r="B9" s="164" t="str">
        <x:v>https://business.walmart.com/reviews/product/271929452</x:v>
      </x:c>
      <x:c r="C9" s="164" t="str">
        <x:v>Availability evidence</x:v>
      </x:c>
      <x:c r="D9" s="164" t="str">
        <x:v>Tier 2</x:v>
      </x:c>
      <x:c r="E9" s="164" t="str">
        <x:v>Market presence</x:v>
      </x:c>
      <x:c r="F9" s="164" t="str">
        <x:v>Brand Repository: USA Speed Stick; SKU Library</x:v>
      </x:c>
      <x:c r="G9" s="167" t="str">
        <x:v>2026-08-31</x:v>
      </x:c>
    </x:row>
    <x:row r="10" ht="18" customHeight="1">
      <x:c r="A10" s="163" t="str">
        <x:v>SRC-0009</x:v>
      </x:c>
      <x:c r="B10" s="164" t="str">
        <x:v>https://ca.filorga.com/</x:v>
      </x:c>
      <x:c r="C10" s="164" t="str">
        <x:v>Official brand/corporate page</x:v>
      </x:c>
      <x:c r="D10" s="164" t="str">
        <x:v>Tier 1 - first party</x:v>
      </x:c>
      <x:c r="E10" s="164" t="str">
        <x:v>Positioning, assets and innovation themes</x:v>
      </x:c>
      <x:c r="F10" s="164" t="str">
        <x:v>Brand Repository: USA FILORGA; Brand Repository: CA FILORGA</x:v>
      </x:c>
      <x:c r="G10" s="167" t="str">
        <x:v>2026-08-31</x:v>
      </x:c>
    </x:row>
    <x:row r="11" ht="18" customHeight="1">
      <x:c r="A11" s="163" t="str">
        <x:v>SRC-0010</x:v>
      </x:c>
      <x:c r="B11" s="164" t="str">
        <x:v>https://ca.filorga.com/fr/produit/coffret-cadeau-time-filler/</x:v>
      </x:c>
      <x:c r="C11" s="164" t="str">
        <x:v>Availability evidence</x:v>
      </x:c>
      <x:c r="D11" s="164" t="str">
        <x:v>Tier 2</x:v>
      </x:c>
      <x:c r="E11" s="164" t="str">
        <x:v>Market presence</x:v>
      </x:c>
      <x:c r="F11" s="164" t="str">
        <x:v>Brand Repository: CA FILORGA; SKU Library</x:v>
      </x:c>
      <x:c r="G11" s="167" t="str">
        <x:v>2026-08-31</x:v>
      </x:c>
    </x:row>
    <x:row r="12" ht="18" customHeight="1">
      <x:c r="A12" s="163" t="str">
        <x:v>SRC-0011</x:v>
      </x:c>
      <x:c r="B12" s="164" t="str">
        <x:v>https://ca.filorga.com/fr/produit/huile-demaquillante-perfectrice/</x:v>
      </x:c>
      <x:c r="C12" s="164" t="str">
        <x:v>Official Canada product page</x:v>
      </x:c>
      <x:c r="D12" s="164" t="str">
        <x:v>Tier 1 - first party</x:v>
      </x:c>
      <x:c r="E12" s="164" t="str">
        <x:v>CA FILORGA: Sérum en huile anti-âge global - Global-Repair - Filorga Canada</x:v>
      </x:c>
      <x:c r="F12" s="164" t="str">
        <x:v>SKU Library</x:v>
      </x:c>
      <x:c r="G12" s="167" t="str">
        <x:v>2026-08-31</x:v>
      </x:c>
    </x:row>
    <x:row r="13" ht="18" customHeight="1">
      <x:c r="A13" s="163" t="str">
        <x:v>SRC-0012</x:v>
      </x:c>
      <x:c r="B13" s="164" t="str">
        <x:v>https://ca.filorga.com/fr/produit/hydra-filler-mat/</x:v>
      </x:c>
      <x:c r="C13" s="164" t="str">
        <x:v>Official Canada product page</x:v>
      </x:c>
      <x:c r="D13" s="164" t="str">
        <x:v>Tier 1 - first party</x:v>
      </x:c>
      <x:c r="E13" s="164" t="str">
        <x:v>CA FILORGA: Gel crème hydratant anti-âge - Hydra-Filler Mat - Filorga Canada</x:v>
      </x:c>
      <x:c r="F13" s="164" t="str">
        <x:v>SKU Library</x:v>
      </x:c>
      <x:c r="G13" s="167" t="str">
        <x:v>2026-08-31</x:v>
      </x:c>
    </x:row>
    <x:row r="14" ht="18" customHeight="1">
      <x:c r="A14" s="163" t="str">
        <x:v>SRC-0013</x:v>
      </x:c>
      <x:c r="B14" s="164" t="str">
        <x:v>https://ca.filorga.com/fr/produit/ncef-revitalize-serum/</x:v>
      </x:c>
      <x:c r="C14" s="164" t="str">
        <x:v>Official Canada product page</x:v>
      </x:c>
      <x:c r="D14" s="164" t="str">
        <x:v>Tier 1 - first party</x:v>
      </x:c>
      <x:c r="E14" s="164" t="str">
        <x:v>CA FILORGA: COFFRET NCEF REVERSE - Soin multi-correcteur ultra-concentré en NCEF - Filorga Canada</x:v>
      </x:c>
      <x:c r="F14" s="164" t="str">
        <x:v>SKU Library</x:v>
      </x:c>
      <x:c r="G14" s="167" t="str">
        <x:v>2026-08-31</x:v>
      </x:c>
    </x:row>
    <x:row r="15" ht="18" customHeight="1">
      <x:c r="A15" s="163" t="str">
        <x:v>SRC-0014</x:v>
      </x:c>
      <x:c r="B15" s="164" t="str">
        <x:v>https://ca.filorga.com/fr/produit/time-filler-eyes-set/</x:v>
      </x:c>
      <x:c r="C15" s="164" t="str">
        <x:v>Official Canada product page</x:v>
      </x:c>
      <x:c r="D15" s="164" t="str">
        <x:v>Tier 1 - first party</x:v>
      </x:c>
      <x:c r="E15" s="164" t="str">
        <x:v>CA FILORGA: COFFRET TIME-FILLER - Programme anti-âge intensif- Filorga Canada</x:v>
      </x:c>
      <x:c r="F15" s="164" t="str">
        <x:v>SKU Library</x:v>
      </x:c>
      <x:c r="G15" s="167" t="str">
        <x:v>2026-08-31</x:v>
      </x:c>
    </x:row>
    <x:row r="16" ht="18" customHeight="1">
      <x:c r="A16" s="163" t="str">
        <x:v>SRC-0015</x:v>
      </x:c>
      <x:c r="B16" s="164" t="str">
        <x:v>https://ca.filorga.com/product-category/anti-aging/makeup/</x:v>
      </x:c>
      <x:c r="C16" s="164" t="str">
        <x:v>Official Canada product page</x:v>
      </x:c>
      <x:c r="D16" s="164" t="str">
        <x:v>Tier 1 - first party</x:v>
      </x:c>
      <x:c r="E16" s="164" t="str">
        <x:v>CA FILORGA: Makeup Archives - Filorga Canada</x:v>
      </x:c>
      <x:c r="F16" s="164" t="str">
        <x:v>SKU Library</x:v>
      </x:c>
      <x:c r="G16" s="167" t="str">
        <x:v>2026-08-31</x:v>
      </x:c>
    </x:row>
    <x:row r="17" ht="18" customHeight="1">
      <x:c r="A17" s="163" t="str">
        <x:v>SRC-0016</x:v>
      </x:c>
      <x:c r="B17" s="164" t="str">
        <x:v>https://ca.filorga.com/product/global-skin-regeneration/</x:v>
      </x:c>
      <x:c r="C17" s="164" t="str">
        <x:v>Official Canada product page</x:v>
      </x:c>
      <x:c r="D17" s="164" t="str">
        <x:v>Tier 1 - first party</x:v>
      </x:c>
      <x:c r="E17" s="164" t="str">
        <x:v>CA FILORGA: Global Skin Regeneration - NCEF-Reverse - Filorga Canada</x:v>
      </x:c>
      <x:c r="F17" s="164" t="str">
        <x:v>SKU Library</x:v>
      </x:c>
      <x:c r="G17" s="167" t="str">
        <x:v>2026-08-31</x:v>
      </x:c>
    </x:row>
    <x:row r="18" ht="18" customHeight="1">
      <x:c r="A18" s="163" t="str">
        <x:v>SRC-0017</x:v>
      </x:c>
      <x:c r="B18" s="164" t="str">
        <x:v>https://ca.filorga.com/product/super-perfecting-duo/</x:v>
      </x:c>
      <x:c r="C18" s="164" t="str">
        <x:v>Official Canada product page</x:v>
      </x:c>
      <x:c r="D18" s="164" t="str">
        <x:v>Tier 1 - first party</x:v>
      </x:c>
      <x:c r="E18" s="164" t="str">
        <x:v>CA FILORGA: Super Perfecting Duo - Oxygen Glow - Filorga Canada</x:v>
      </x:c>
      <x:c r="F18" s="164" t="str">
        <x:v>SKU Library</x:v>
      </x:c>
      <x:c r="G18" s="167" t="str">
        <x:v>2026-08-31</x:v>
      </x:c>
    </x:row>
    <x:row r="19" ht="18" customHeight="1">
      <x:c r="A19" s="163" t="str">
        <x:v>SRC-0018</x:v>
      </x:c>
      <x:c r="B19" s="164" t="str">
        <x:v>https://ca.filorga.com/product/time-filler-night-15ml/</x:v>
      </x:c>
      <x:c r="C19" s="164" t="str">
        <x:v>Official Canada product page</x:v>
      </x:c>
      <x:c r="D19" s="164" t="str">
        <x:v>Tier 1 - first party</x:v>
      </x:c>
      <x:c r="E19" s="164" t="str">
        <x:v>CA FILORGA: TIME-FILLER NIGHT 15ML - Filorga Canada</x:v>
      </x:c>
      <x:c r="F19" s="164" t="str">
        <x:v>SKU Library</x:v>
      </x:c>
      <x:c r="G19" s="167" t="str">
        <x:v>2026-08-31</x:v>
      </x:c>
    </x:row>
    <x:row r="20" ht="18" customHeight="1">
      <x:c r="A20" s="163" t="str">
        <x:v>SRC-0019</x:v>
      </x:c>
      <x:c r="B20" s="164" t="str">
        <x:v>https://dermshop.ca/products/eltamd-uv-clear-broad-spectrum-spf-46</x:v>
      </x:c>
      <x:c r="C20" s="164" t="str">
        <x:v>Availability evidence</x:v>
      </x:c>
      <x:c r="D20" s="164" t="str">
        <x:v>Tier 2</x:v>
      </x:c>
      <x:c r="E20" s="164" t="str">
        <x:v>Market presence</x:v>
      </x:c>
      <x:c r="F20" s="164" t="str">
        <x:v>Brand Repository: CA EltaMD; SKU Library</x:v>
      </x:c>
      <x:c r="G20" s="167" t="str">
        <x:v>2026-08-31</x:v>
      </x:c>
    </x:row>
    <x:row r="21" ht="18" customHeight="1">
      <x:c r="A21" s="163" t="str">
        <x:v>SRC-0020</x:v>
      </x:c>
      <x:c r="B21" s="164" t="str">
        <x:v>https://eltamd.com/collections/best-sellers/products/eltamd-uv-clear-blemish-prone-oil-balancing-spf-50?bvstate=pg%3A2%2Fct%3Ar</x:v>
      </x:c>
      <x:c r="C21" s="164" t="str">
        <x:v>Official product page</x:v>
      </x:c>
      <x:c r="D21" s="164" t="str">
        <x:v>Tier 1 - first party</x:v>
      </x:c>
      <x:c r="E21" s="164" t="str">
        <x:v>USA EltaMD: EltaMD UV Clear Blemish-Prone &amp; Oil Balancing SPF 50</x:v>
      </x:c>
      <x:c r="F21" s="164" t="str">
        <x:v>SKU Library</x:v>
      </x:c>
      <x:c r="G21" s="167" t="str">
        <x:v>2026-08-31</x:v>
      </x:c>
    </x:row>
    <x:row r="22" ht="18" customHeight="1">
      <x:c r="A22" s="163" t="str">
        <x:v>SRC-0021</x:v>
      </x:c>
      <x:c r="B22" s="164" t="str">
        <x:v>https://eltamd.com/products/eltamd-am-restore-moisturizer</x:v>
      </x:c>
      <x:c r="C22" s="164" t="str">
        <x:v>Official product page</x:v>
      </x:c>
      <x:c r="D22" s="164" t="str">
        <x:v>Tier 1 - first party</x:v>
      </x:c>
      <x:c r="E22" s="164" t="str">
        <x:v>USA EltaMD: AM Restore Moisturizer with Niacinamide</x:v>
      </x:c>
      <x:c r="F22" s="164" t="str">
        <x:v>SKU Library</x:v>
      </x:c>
      <x:c r="G22" s="167" t="str">
        <x:v>2026-08-31</x:v>
      </x:c>
    </x:row>
    <x:row r="23" ht="18" customHeight="1">
      <x:c r="A23" s="163" t="str">
        <x:v>SRC-0022</x:v>
      </x:c>
      <x:c r="B23" s="164" t="str">
        <x:v>https://eltamd.com/products/eltamd-anti-aging-kit</x:v>
      </x:c>
      <x:c r="C23" s="164" t="str">
        <x:v>Official product page</x:v>
      </x:c>
      <x:c r="D23" s="164" t="str">
        <x:v>Tier 1 - first party</x:v>
      </x:c>
      <x:c r="E23" s="164" t="str">
        <x:v>USA EltaMD: EltaMD Anti-Aging Kit</x:v>
      </x:c>
      <x:c r="F23" s="164" t="str">
        <x:v>SKU Library</x:v>
      </x:c>
      <x:c r="G23" s="167" t="str">
        <x:v>2026-08-31</x:v>
      </x:c>
    </x:row>
    <x:row r="24" ht="18" customHeight="1">
      <x:c r="A24" s="163" t="str">
        <x:v>SRC-0023</x:v>
      </x:c>
      <x:c r="B24" s="164" t="str">
        <x:v>https://eltamd.com/products/eltamd-barrier-renewal-complex</x:v>
      </x:c>
      <x:c r="C24" s="164" t="str">
        <x:v>Official product page</x:v>
      </x:c>
      <x:c r="D24" s="164" t="str">
        <x:v>Tier 1 - first party</x:v>
      </x:c>
      <x:c r="E24" s="164" t="str">
        <x:v>USA EltaMD: Barrier Renewal Complex with Ceramides &amp; Peptides</x:v>
      </x:c>
      <x:c r="F24" s="164" t="str">
        <x:v>SKU Library</x:v>
      </x:c>
      <x:c r="G24" s="167" t="str">
        <x:v>2026-08-31</x:v>
      </x:c>
    </x:row>
    <x:row r="25" ht="18" customHeight="1">
      <x:c r="A25" s="163" t="str">
        <x:v>SRC-0024</x:v>
      </x:c>
      <x:c r="B25" s="164" t="str">
        <x:v>https://eltamd.com/products/eltamd-hydration-bundle</x:v>
      </x:c>
      <x:c r="C25" s="164" t="str">
        <x:v>Official product page</x:v>
      </x:c>
      <x:c r="D25" s="164" t="str">
        <x:v>Tier 1 - first party</x:v>
      </x:c>
      <x:c r="E25" s="164" t="str">
        <x:v>USA EltaMD: Ultimate Hydration Skincare Kit</x:v>
      </x:c>
      <x:c r="F25" s="164" t="str">
        <x:v>SKU Library</x:v>
      </x:c>
      <x:c r="G25" s="167" t="str">
        <x:v>2026-08-31</x:v>
      </x:c>
    </x:row>
    <x:row r="26" ht="18" customHeight="1">
      <x:c r="A26" s="163" t="str">
        <x:v>SRC-0025</x:v>
      </x:c>
      <x:c r="B26" s="164" t="str">
        <x:v>https://eltamd.com/products/eltamd-post-procedure-bundle</x:v>
      </x:c>
      <x:c r="C26" s="164" t="str">
        <x:v>Official product page</x:v>
      </x:c>
      <x:c r="D26" s="164" t="str">
        <x:v>Tier 1 - first party</x:v>
      </x:c>
      <x:c r="E26" s="164" t="str">
        <x:v>USA EltaMD: Post-Procedure Skin Recovery Kit</x:v>
      </x:c>
      <x:c r="F26" s="164" t="str">
        <x:v>SKU Library</x:v>
      </x:c>
      <x:c r="G26" s="167" t="str">
        <x:v>2026-08-31</x:v>
      </x:c>
    </x:row>
    <x:row r="27" ht="18" customHeight="1">
      <x:c r="A27" s="163" t="str">
        <x:v>SRC-0026</x:v>
      </x:c>
      <x:c r="B27" s="164" t="str">
        <x:v>https://eltamd.com/products/eltamd-skin-recovery-light-moisturizer</x:v>
      </x:c>
      <x:c r="C27" s="164" t="str">
        <x:v>Official product page</x:v>
      </x:c>
      <x:c r="D27" s="164" t="str">
        <x:v>Tier 1 - first party</x:v>
      </x:c>
      <x:c r="E27" s="164" t="str">
        <x:v>USA EltaMD: Skin Recovery Light Moisturizer for Barrier Repair</x:v>
      </x:c>
      <x:c r="F27" s="164" t="str">
        <x:v>SKU Library</x:v>
      </x:c>
      <x:c r="G27" s="167" t="str">
        <x:v>2026-08-31</x:v>
      </x:c>
    </x:row>
    <x:row r="28" ht="18" customHeight="1">
      <x:c r="A28" s="163" t="str">
        <x:v>SRC-0027</x:v>
      </x:c>
      <x:c r="B28" s="164" t="str">
        <x:v>https://eltamd.com/products/eltamd-skin-recovery-night-mask</x:v>
      </x:c>
      <x:c r="C28" s="164" t="str">
        <x:v>Official product page</x:v>
      </x:c>
      <x:c r="D28" s="164" t="str">
        <x:v>Tier 1 - first party</x:v>
      </x:c>
      <x:c r="E28" s="164" t="str">
        <x:v>USA EltaMD: Skin Recovery Night Mask for Redness &amp; Repair</x:v>
      </x:c>
      <x:c r="F28" s="164" t="str">
        <x:v>SKU Library</x:v>
      </x:c>
      <x:c r="G28" s="167" t="str">
        <x:v>2026-08-31</x:v>
      </x:c>
    </x:row>
    <x:row r="29" ht="18" customHeight="1">
      <x:c r="A29" s="163" t="str">
        <x:v>SRC-0028</x:v>
      </x:c>
      <x:c r="B29" s="164" t="str">
        <x:v>https://eltamd.com/products/eltamd-skin-recovery-serum</x:v>
      </x:c>
      <x:c r="C29" s="164" t="str">
        <x:v>Official product page</x:v>
      </x:c>
      <x:c r="D29" s="164" t="str">
        <x:v>Tier 1 - first party</x:v>
      </x:c>
      <x:c r="E29" s="164" t="str">
        <x:v>USA EltaMD: Skin Recovery Serum for Redness &amp; Barrier Repair</x:v>
      </x:c>
      <x:c r="F29" s="164" t="str">
        <x:v>SKU Library</x:v>
      </x:c>
      <x:c r="G29" s="167" t="str">
        <x:v>2026-08-31</x:v>
      </x:c>
    </x:row>
    <x:row r="30" ht="18" customHeight="1">
      <x:c r="A30" s="163" t="str">
        <x:v>SRC-0029</x:v>
      </x:c>
      <x:c r="B30" s="164" t="str">
        <x:v>https://eltamd.com/products/eltamd-skin-recovery-system-regimen-kit-2</x:v>
      </x:c>
      <x:c r="C30" s="164" t="str">
        <x:v>Official product page</x:v>
      </x:c>
      <x:c r="D30" s="164" t="str">
        <x:v>Tier 1 - first party</x:v>
      </x:c>
      <x:c r="E30" s="164" t="str">
        <x:v>USA EltaMD: Skin Recovery System Kit for Sensitive Skin</x:v>
      </x:c>
      <x:c r="F30" s="164" t="str">
        <x:v>SKU Library</x:v>
      </x:c>
      <x:c r="G30" s="167" t="str">
        <x:v>2026-08-31</x:v>
      </x:c>
    </x:row>
    <x:row r="31" ht="18" customHeight="1">
      <x:c r="A31" s="163" t="str">
        <x:v>SRC-0030</x:v>
      </x:c>
      <x:c r="B31" s="164" t="str">
        <x:v>https://eltamd.com/products/eltamd-skin-recovery-toner</x:v>
      </x:c>
      <x:c r="C31" s="164" t="str">
        <x:v>Official product page</x:v>
      </x:c>
      <x:c r="D31" s="164" t="str">
        <x:v>Tier 1 - first party</x:v>
      </x:c>
      <x:c r="E31" s="164" t="str">
        <x:v>USA EltaMD: Skin Recovery Essence Toner for Barrier Repair</x:v>
      </x:c>
      <x:c r="F31" s="164" t="str">
        <x:v>SKU Library</x:v>
      </x:c>
      <x:c r="G31" s="167" t="str">
        <x:v>2026-08-31</x:v>
      </x:c>
    </x:row>
    <x:row r="32" ht="18" customHeight="1">
      <x:c r="A32" s="163" t="str">
        <x:v>SRC-0031</x:v>
      </x:c>
      <x:c r="B32" s="164" t="str">
        <x:v>https://eltamd.com/products/eltamd-uv-aox-elements-broad-spectrum-spf-50</x:v>
      </x:c>
      <x:c r="C32" s="164" t="str">
        <x:v>Official product page</x:v>
      </x:c>
      <x:c r="D32" s="164" t="str">
        <x:v>Tier 1 - first party</x:v>
      </x:c>
      <x:c r="E32" s="164" t="str">
        <x:v>USA EltaMD: UV AOX Elements Tinted Mineral Sunscreen SPF 50</x:v>
      </x:c>
      <x:c r="F32" s="164" t="str">
        <x:v>SKU Library</x:v>
      </x:c>
      <x:c r="G32" s="167" t="str">
        <x:v>2026-08-31</x:v>
      </x:c>
    </x:row>
    <x:row r="33" ht="18" customHeight="1">
      <x:c r="A33" s="163" t="str">
        <x:v>SRC-0032</x:v>
      </x:c>
      <x:c r="B33" s="164" t="str">
        <x:v>https://eltamd.com/products/eltamd-uv-aox-mist</x:v>
      </x:c>
      <x:c r="C33" s="164" t="str">
        <x:v>Official product page</x:v>
      </x:c>
      <x:c r="D33" s="164" t="str">
        <x:v>Tier 1 - first party</x:v>
      </x:c>
      <x:c r="E33" s="164" t="str">
        <x:v>USA EltaMD: UV AOX Mist Mineral Sunscreen Spray SPF 40</x:v>
      </x:c>
      <x:c r="F33" s="164" t="str">
        <x:v>SKU Library</x:v>
      </x:c>
      <x:c r="G33" s="167" t="str">
        <x:v>2026-08-31</x:v>
      </x:c>
    </x:row>
    <x:row r="34" ht="18" customHeight="1">
      <x:c r="A34" s="163" t="str">
        <x:v>SRC-0033</x:v>
      </x:c>
      <x:c r="B34" s="164" t="str">
        <x:v>https://eltamd.com/products/eltamd-uv-clear-2-pack</x:v>
      </x:c>
      <x:c r="C34" s="164" t="str">
        <x:v>Official product page</x:v>
      </x:c>
      <x:c r="D34" s="164" t="str">
        <x:v>Tier 1 - first party</x:v>
      </x:c>
      <x:c r="E34" s="164" t="str">
        <x:v>USA EltaMD: UV Clear Duo Kit– EltaMD</x:v>
      </x:c>
      <x:c r="F34" s="164" t="str">
        <x:v>SKU Library</x:v>
      </x:c>
      <x:c r="G34" s="167" t="str">
        <x:v>2026-08-31</x:v>
      </x:c>
    </x:row>
    <x:row r="35" ht="18" customHeight="1">
      <x:c r="A35" s="163" t="str">
        <x:v>SRC-0034</x:v>
      </x:c>
      <x:c r="B35" s="164" t="str">
        <x:v>https://eltamd.com/products/eltamd-uv-clear-deep-tinted-broad-spectrum-spf-46</x:v>
      </x:c>
      <x:c r="C35" s="164" t="str">
        <x:v>Official product page</x:v>
      </x:c>
      <x:c r="D35" s="164" t="str">
        <x:v>Tier 1 - first party</x:v>
      </x:c>
      <x:c r="E35" s="164" t="str">
        <x:v>USA EltaMD: UV Clear Deep Tinted SPF 46 for Deeper Skin Tones</x:v>
      </x:c>
      <x:c r="F35" s="164" t="str">
        <x:v>SKU Library</x:v>
      </x:c>
      <x:c r="G35" s="167" t="str">
        <x:v>2026-08-31</x:v>
      </x:c>
    </x:row>
    <x:row r="36" ht="18" customHeight="1">
      <x:c r="A36" s="163" t="str">
        <x:v>SRC-0035</x:v>
      </x:c>
      <x:c r="B36" s="164" t="str">
        <x:v>https://eltamd.com/products/eltamd-uv-clear-tinted-broad-spectrum-spf-46</x:v>
      </x:c>
      <x:c r="C36" s="164" t="str">
        <x:v>Official product page</x:v>
      </x:c>
      <x:c r="D36" s="164" t="str">
        <x:v>Tier 1 - first party</x:v>
      </x:c>
      <x:c r="E36" s="164" t="str">
        <x:v>USA EltaMD: UV Clear Tinted SPF 46 for Acne-Prone Skin</x:v>
      </x:c>
      <x:c r="F36" s="164" t="str">
        <x:v>SKU Library</x:v>
      </x:c>
      <x:c r="G36" s="167" t="str">
        <x:v>2026-08-31</x:v>
      </x:c>
    </x:row>
    <x:row r="37" ht="18" customHeight="1">
      <x:c r="A37" s="163" t="str">
        <x:v>SRC-0036</x:v>
      </x:c>
      <x:c r="B37" s="164" t="str">
        <x:v>https://eltamd.com/products/eltamd-uv-daily-broad-spectrum-spf-40-limited-edition</x:v>
      </x:c>
      <x:c r="C37" s="164" t="str">
        <x:v>Official product page</x:v>
      </x:c>
      <x:c r="D37" s="164" t="str">
        <x:v>Tier 1 - first party</x:v>
      </x:c>
      <x:c r="E37" s="164" t="str">
        <x:v>USA EltaMD: Limited Edition UV Daily Moisturizing Sunscreen SPF 40</x:v>
      </x:c>
      <x:c r="F37" s="164" t="str">
        <x:v>SKU Library</x:v>
      </x:c>
      <x:c r="G37" s="167" t="str">
        <x:v>2026-08-31</x:v>
      </x:c>
    </x:row>
    <x:row r="38" ht="18" customHeight="1">
      <x:c r="A38" s="163" t="str">
        <x:v>SRC-0037</x:v>
      </x:c>
      <x:c r="B38" s="164" t="str">
        <x:v>https://eltamd.com/products/eltamd-uv-daily-hydration</x:v>
      </x:c>
      <x:c r="C38" s="164" t="str">
        <x:v>Official product page</x:v>
      </x:c>
      <x:c r="D38" s="164" t="str">
        <x:v>Tier 1 - first party</x:v>
      </x:c>
      <x:c r="E38" s="164" t="str">
        <x:v>USA EltaMD: UV Daily Hydration + | Moisturizing Sunscreen</x:v>
      </x:c>
      <x:c r="F38" s="164" t="str">
        <x:v>SKU Library</x:v>
      </x:c>
      <x:c r="G38" s="167" t="str">
        <x:v>2026-08-31</x:v>
      </x:c>
    </x:row>
    <x:row r="39" ht="18" customHeight="1">
      <x:c r="A39" s="163" t="str">
        <x:v>SRC-0038</x:v>
      </x:c>
      <x:c r="B39" s="164" t="str">
        <x:v>https://eltamd.com/products/eltamd-uv-daily-hydration-tinted-spf-50</x:v>
      </x:c>
      <x:c r="C39" s="164" t="str">
        <x:v>Official product page</x:v>
      </x:c>
      <x:c r="D39" s="164" t="str">
        <x:v>Tier 1 - first party</x:v>
      </x:c>
      <x:c r="E39" s="164" t="str">
        <x:v>USA EltaMD: EltaMD UV Daily Hydration+ Tinted SPF 50</x:v>
      </x:c>
      <x:c r="F39" s="164" t="str">
        <x:v>SKU Library</x:v>
      </x:c>
      <x:c r="G39" s="167" t="str">
        <x:v>2026-08-31</x:v>
      </x:c>
    </x:row>
    <x:row r="40" ht="18" customHeight="1">
      <x:c r="A40" s="163" t="str">
        <x:v>SRC-0039</x:v>
      </x:c>
      <x:c r="B40" s="164" t="str">
        <x:v>https://eltamd.com/products/eltamd-uv-luminous</x:v>
      </x:c>
      <x:c r="C40" s="164" t="str">
        <x:v>Official product page</x:v>
      </x:c>
      <x:c r="D40" s="164" t="str">
        <x:v>Tier 1 - first party</x:v>
      </x:c>
      <x:c r="E40" s="164" t="str">
        <x:v>USA EltaMD: EltaMD UV Luminous Broad-Spectrum SPF 41</x:v>
      </x:c>
      <x:c r="F40" s="164" t="str">
        <x:v>SKU Library</x:v>
      </x:c>
      <x:c r="G40" s="167" t="str">
        <x:v>2026-08-31</x:v>
      </x:c>
    </x:row>
    <x:row r="41" ht="18" customHeight="1">
      <x:c r="A41" s="163" t="str">
        <x:v>SRC-0040</x:v>
      </x:c>
      <x:c r="B41" s="164" t="str">
        <x:v>https://eltamd.com/products/eltamd-uv-physical-broad-spectrum-spf-40-rosy-tint</x:v>
      </x:c>
      <x:c r="C41" s="164" t="str">
        <x:v>Official product page</x:v>
      </x:c>
      <x:c r="D41" s="164" t="str">
        <x:v>Tier 1 - first party</x:v>
      </x:c>
      <x:c r="E41" s="164" t="str">
        <x:v>USA EltaMD: UV Physical Rosy Tint Mineral Sunscreen SPF 40</x:v>
      </x:c>
      <x:c r="F41" s="164" t="str">
        <x:v>SKU Library</x:v>
      </x:c>
      <x:c r="G41" s="167" t="str">
        <x:v>2026-08-31</x:v>
      </x:c>
    </x:row>
    <x:row r="42" ht="18" customHeight="1">
      <x:c r="A42" s="163" t="str">
        <x:v>SRC-0041</x:v>
      </x:c>
      <x:c r="B42" s="164" t="str">
        <x:v>https://eltamd.com/products/eltamd-uv-physical-broad-spectrum-spf-41</x:v>
      </x:c>
      <x:c r="C42" s="164" t="str">
        <x:v>Official product page</x:v>
      </x:c>
      <x:c r="D42" s="164" t="str">
        <x:v>Tier 1 - first party</x:v>
      </x:c>
      <x:c r="E42" s="164" t="str">
        <x:v>USA EltaMD: UV Physical Tinted Mineral Sunscreen SPF 41</x:v>
      </x:c>
      <x:c r="F42" s="164" t="str">
        <x:v>SKU Library</x:v>
      </x:c>
      <x:c r="G42" s="167" t="str">
        <x:v>2026-08-31</x:v>
      </x:c>
    </x:row>
    <x:row r="43" ht="18" customHeight="1">
      <x:c r="A43" s="163" t="str">
        <x:v>SRC-0042</x:v>
      </x:c>
      <x:c r="B43" s="164" t="str">
        <x:v>https://eltamd.com/products/eltamd-uv-restore-tinted-broad-spectrum-spf-40</x:v>
      </x:c>
      <x:c r="C43" s="164" t="str">
        <x:v>Official product page</x:v>
      </x:c>
      <x:c r="D43" s="164" t="str">
        <x:v>Tier 1 - first party</x:v>
      </x:c>
      <x:c r="E43" s="164" t="str">
        <x:v>USA EltaMD: UV Restore Tinted Mineral Sunscreen SPF 40</x:v>
      </x:c>
      <x:c r="F43" s="164" t="str">
        <x:v>SKU Library</x:v>
      </x:c>
      <x:c r="G43" s="167" t="str">
        <x:v>2026-08-31</x:v>
      </x:c>
    </x:row>
    <x:row r="44" ht="18" customHeight="1">
      <x:c r="A44" s="163" t="str">
        <x:v>SRC-0043</x:v>
      </x:c>
      <x:c r="B44" s="164" t="str">
        <x:v>https://eltamd.com/products/eltamd-uv-sheer-broad-spectrum-spf-50</x:v>
      </x:c>
      <x:c r="C44" s="164" t="str">
        <x:v>Official product page</x:v>
      </x:c>
      <x:c r="D44" s="164" t="str">
        <x:v>Tier 1 - first party</x:v>
      </x:c>
      <x:c r="E44" s="164" t="str">
        <x:v>USA EltaMD: UV Sheer Lightweight Facial Sunscreen SPF 50+</x:v>
      </x:c>
      <x:c r="F44" s="164" t="str">
        <x:v>SKU Library</x:v>
      </x:c>
      <x:c r="G44" s="167" t="str">
        <x:v>2026-08-31</x:v>
      </x:c>
    </x:row>
    <x:row r="45" ht="18" customHeight="1">
      <x:c r="A45" s="163" t="str">
        <x:v>SRC-0044</x:v>
      </x:c>
      <x:c r="B45" s="164" t="str">
        <x:v>https://eltamd.com/products/eltamd-uv-skin-recovery-broad-spectrum-spf-50</x:v>
      </x:c>
      <x:c r="C45" s="164" t="str">
        <x:v>Official product page</x:v>
      </x:c>
      <x:c r="D45" s="164" t="str">
        <x:v>Tier 1 - first party</x:v>
      </x:c>
      <x:c r="E45" s="164" t="str">
        <x:v>USA EltaMD: UV Skin Recovery Broad Spectrum SPF 50 Face Sunscreen</x:v>
      </x:c>
      <x:c r="F45" s="164" t="str">
        <x:v>SKU Library</x:v>
      </x:c>
      <x:c r="G45" s="167" t="str">
        <x:v>2026-08-31</x:v>
      </x:c>
    </x:row>
    <x:row r="46" ht="18" customHeight="1">
      <x:c r="A46" s="163" t="str">
        <x:v>SRC-0045</x:v>
      </x:c>
      <x:c r="B46" s="164" t="str">
        <x:v>https://eltamd.com/products/eltamd-uv-skin-recovery-broad-spectrum-spf-50-red-color-correcting-face-sunscreen</x:v>
      </x:c>
      <x:c r="C46" s="164" t="str">
        <x:v>Official product page</x:v>
      </x:c>
      <x:c r="D46" s="164" t="str">
        <x:v>Tier 1 - first party</x:v>
      </x:c>
      <x:c r="E46" s="164" t="str">
        <x:v>USA EltaMD: UV Skin Recovery Green Tinted Sunscreen SPF 50</x:v>
      </x:c>
      <x:c r="F46" s="164" t="str">
        <x:v>SKU Library</x:v>
      </x:c>
      <x:c r="G46" s="167" t="str">
        <x:v>2026-08-31</x:v>
      </x:c>
    </x:row>
    <x:row r="47" ht="18" customHeight="1">
      <x:c r="A47" s="163" t="str">
        <x:v>SRC-0046</x:v>
      </x:c>
      <x:c r="B47" s="164" t="str">
        <x:v>https://eltamd.com/products/eltamd-uv-stick-broad-spectrum-spf-50</x:v>
      </x:c>
      <x:c r="C47" s="164" t="str">
        <x:v>Official product page</x:v>
      </x:c>
      <x:c r="D47" s="164" t="str">
        <x:v>Tier 1 - first party</x:v>
      </x:c>
      <x:c r="E47" s="164" t="str">
        <x:v>USA EltaMD: UV Stick Mineral Sunscreen SPF 50+</x:v>
      </x:c>
      <x:c r="F47" s="164" t="str">
        <x:v>SKU Library</x:v>
      </x:c>
      <x:c r="G47" s="167" t="str">
        <x:v>2026-08-31</x:v>
      </x:c>
    </x:row>
    <x:row r="48" ht="18" customHeight="1">
      <x:c r="A48" s="163" t="str">
        <x:v>SRC-0047</x:v>
      </x:c>
      <x:c r="B48" s="164" t="str">
        <x:v>https://eltamd.com/products/sensitive-skin-bundle</x:v>
      </x:c>
      <x:c r="C48" s="164" t="str">
        <x:v>Availability evidence</x:v>
      </x:c>
      <x:c r="D48" s="164" t="str">
        <x:v>Tier 1</x:v>
      </x:c>
      <x:c r="E48" s="164" t="str">
        <x:v>Market presence</x:v>
      </x:c>
      <x:c r="F48" s="164" t="str">
        <x:v>Brand Repository: USA EltaMD; SKU Library</x:v>
      </x:c>
      <x:c r="G48" s="167" t="str">
        <x:v>2026-08-31</x:v>
      </x:c>
    </x:row>
    <x:row r="49" ht="18" customHeight="1">
      <x:c r="A49" s="163" t="str">
        <x:v>SRC-0048</x:v>
      </x:c>
      <x:c r="B49" s="164" t="str">
        <x:v>https://eltamd.com/products/uv-clear-broad-spectrum-spf-46</x:v>
      </x:c>
      <x:c r="C49" s="164" t="str">
        <x:v>Official product page</x:v>
      </x:c>
      <x:c r="D49" s="164" t="str">
        <x:v>Tier 1 - first party</x:v>
      </x:c>
      <x:c r="E49" s="164" t="str">
        <x:v>USA EltaMD: UV Clear SPF 46 Sunscreen for Acne-Prone Skin</x:v>
      </x:c>
      <x:c r="F49" s="164" t="str">
        <x:v>SKU Library</x:v>
      </x:c>
      <x:c r="G49" s="167" t="str">
        <x:v>2026-08-31</x:v>
      </x:c>
    </x:row>
    <x:row r="50" ht="18" customHeight="1">
      <x:c r="A50" s="163" t="str">
        <x:v>SRC-0049</x:v>
      </x:c>
      <x:c r="B50" s="164" t="str">
        <x:v>https://eltamd.com/products/uv-clear-discovery-mini-kit</x:v>
      </x:c>
      <x:c r="C50" s="164" t="str">
        <x:v>Official product page</x:v>
      </x:c>
      <x:c r="D50" s="164" t="str">
        <x:v>Tier 1 - first party</x:v>
      </x:c>
      <x:c r="E50" s="164" t="str">
        <x:v>USA EltaMD: UV Clear Discovery Mini Kit– EltaMD</x:v>
      </x:c>
      <x:c r="F50" s="164" t="str">
        <x:v>SKU Library</x:v>
      </x:c>
      <x:c r="G50" s="167" t="str">
        <x:v>2026-08-31</x:v>
      </x:c>
    </x:row>
    <x:row r="51" ht="18" customHeight="1">
      <x:c r="A51" s="163" t="str">
        <x:v>SRC-0050</x:v>
      </x:c>
      <x:c r="B51" s="164" t="str">
        <x:v>https://eltamd.com/products/uv-clear-tinted-untinted-twin-pack</x:v>
      </x:c>
      <x:c r="C51" s="164" t="str">
        <x:v>Official product page</x:v>
      </x:c>
      <x:c r="D51" s="164" t="str">
        <x:v>Tier 1 - first party</x:v>
      </x:c>
      <x:c r="E51" s="164" t="str">
        <x:v>USA EltaMD: UV Clear Tinted &amp; Untinted Duo Kit– EltaMD</x:v>
      </x:c>
      <x:c r="F51" s="164" t="str">
        <x:v>SKU Library</x:v>
      </x:c>
      <x:c r="G51" s="167" t="str">
        <x:v>2026-08-31</x:v>
      </x:c>
    </x:row>
    <x:row r="52" ht="18" customHeight="1">
      <x:c r="A52" s="163" t="str">
        <x:v>SRC-0051</x:v>
      </x:c>
      <x:c r="B52" s="164" t="str">
        <x:v>https://eltamd.com/products/uv-daily-tinted-broad-spectrum-spf-40</x:v>
      </x:c>
      <x:c r="C52" s="164" t="str">
        <x:v>Official product page</x:v>
      </x:c>
      <x:c r="D52" s="164" t="str">
        <x:v>Tier 1 - first party</x:v>
      </x:c>
      <x:c r="E52" s="164" t="str">
        <x:v>USA EltaMD: UV Daily Tinted Broad-Spectrum SPF 40 | Tinted Sunscreen</x:v>
      </x:c>
      <x:c r="F52" s="164" t="str">
        <x:v>SKU Library</x:v>
      </x:c>
      <x:c r="G52" s="167" t="str">
        <x:v>2026-08-31</x:v>
      </x:c>
    </x:row>
    <x:row r="53" ht="18" customHeight="1">
      <x:c r="A53" s="163" t="str">
        <x:v>SRC-0052</x:v>
      </x:c>
      <x:c r="B53" s="164" t="str">
        <x:v>https://eltamd.com/products/uv-lip-balm-broad-spectrum-spf-36</x:v>
      </x:c>
      <x:c r="C53" s="164" t="str">
        <x:v>Official product page</x:v>
      </x:c>
      <x:c r="D53" s="164" t="str">
        <x:v>Tier 1 - first party</x:v>
      </x:c>
      <x:c r="E53" s="164" t="str">
        <x:v>USA EltaMD: UV Lip Balm Moisturizing SPF 36 Lip Sunscreen</x:v>
      </x:c>
      <x:c r="F53" s="164" t="str">
        <x:v>SKU Library</x:v>
      </x:c>
      <x:c r="G53" s="167" t="str">
        <x:v>2026-08-31</x:v>
      </x:c>
    </x:row>
    <x:row r="54" ht="18" customHeight="1">
      <x:c r="A54" s="163" t="str">
        <x:v>SRC-0053</x:v>
      </x:c>
      <x:c r="B54" s="164" t="str">
        <x:v>https://eltamd.com/products/uv-skin-recovery-duo-kit</x:v>
      </x:c>
      <x:c r="C54" s="164" t="str">
        <x:v>Official product page</x:v>
      </x:c>
      <x:c r="D54" s="164" t="str">
        <x:v>Tier 1 - first party</x:v>
      </x:c>
      <x:c r="E54" s="164" t="str">
        <x:v>USA EltaMD: UV Skin Recovery Duo Kit– EltaMD</x:v>
      </x:c>
      <x:c r="F54" s="164" t="str">
        <x:v>SKU Library</x:v>
      </x:c>
      <x:c r="G54" s="167" t="str">
        <x:v>2026-08-31</x:v>
      </x:c>
    </x:row>
    <x:row r="55" ht="18" customHeight="1">
      <x:c r="A55" s="163" t="str">
        <x:v>SRC-0054</x:v>
      </x:c>
      <x:c r="B55" s="164" t="str">
        <x:v>https://health-products.canada.ca/</x:v>
      </x:c>
      <x:c r="C55" s="164" t="str">
        <x:v>Availability evidence</x:v>
      </x:c>
      <x:c r="D55" s="164" t="str">
        <x:v>Tier 2</x:v>
      </x:c>
      <x:c r="E55" s="164" t="str">
        <x:v>Market presence</x:v>
      </x:c>
      <x:c r="F55" s="164" t="str">
        <x:v>Brand Repository: CA Speed Stick</x:v>
      </x:c>
      <x:c r="G55" s="167" t="str">
        <x:v>2026-08-31</x:v>
      </x:c>
    </x:row>
    <x:row r="56" ht="18" customHeight="1">
      <x:c r="A56" s="163" t="str">
        <x:v>SRC-0055</x:v>
      </x:c>
      <x:c r="B56" s="164" t="str">
        <x:v>https://health-products.canada.ca/dpd-bdpp/info?code=101959&amp;lang=eng</x:v>
      </x:c>
      <x:c r="C56" s="164" t="str">
        <x:v>Health Canada DPD</x:v>
      </x:c>
      <x:c r="D56" s="164" t="str">
        <x:v>Tier 1 - Canadian government directory</x:v>
      </x:c>
      <x:c r="E56" s="164" t="str">
        <x:v>CA Colgate: COLGATE TOTAL ACTIVE PREVENTION GUM HEALTH</x:v>
      </x:c>
      <x:c r="F56" s="164" t="str">
        <x:v>SKU Library</x:v>
      </x:c>
      <x:c r="G56" s="167" t="str">
        <x:v>2026-08-31</x:v>
      </x:c>
    </x:row>
    <x:row r="57" ht="18" customHeight="1">
      <x:c r="A57" s="163" t="str">
        <x:v>SRC-0056</x:v>
      </x:c>
      <x:c r="B57" s="164" t="str">
        <x:v>https://health-products.canada.ca/dpd-bdpp/info?code=103872&amp;lang=eng</x:v>
      </x:c>
      <x:c r="C57" s="164" t="str">
        <x:v>Health Canada DPD</x:v>
      </x:c>
      <x:c r="D57" s="164" t="str">
        <x:v>Tier 1 - Canadian government directory</x:v>
      </x:c>
      <x:c r="E57" s="164" t="str">
        <x:v>CA Softsoap: SOFTSOAP ANTIBACTERIAL FOR SENSITIVE SKIN</x:v>
      </x:c>
      <x:c r="F57" s="164" t="str">
        <x:v>SKU Library</x:v>
      </x:c>
      <x:c r="G57" s="167" t="str">
        <x:v>2026-08-31</x:v>
      </x:c>
    </x:row>
    <x:row r="58" ht="18" customHeight="1">
      <x:c r="A58" s="163" t="str">
        <x:v>SRC-0057</x:v>
      </x:c>
      <x:c r="B58" s="164" t="str">
        <x:v>https://health-products.canada.ca/dpd-bdpp/info?code=89148&amp;lang=eng</x:v>
      </x:c>
      <x:c r="C58" s="164" t="str">
        <x:v>Health Canada DPD</x:v>
      </x:c>
      <x:c r="D58" s="164" t="str">
        <x:v>Tier 1 - Canadian government directory</x:v>
      </x:c>
      <x:c r="E58" s="164" t="str">
        <x:v>CA Softsoap: SOFTSOAP ANTIBACTERIAL</x:v>
      </x:c>
      <x:c r="F58" s="164" t="str">
        <x:v>SKU Library</x:v>
      </x:c>
      <x:c r="G58" s="167" t="str">
        <x:v>2026-08-31</x:v>
      </x:c>
    </x:row>
    <x:row r="59" ht="18" customHeight="1">
      <x:c r="A59" s="163" t="str">
        <x:v>SRC-0058</x:v>
      </x:c>
      <x:c r="B59" s="164" t="str">
        <x:v>https://health-products.canada.ca/dpd-bdpp/info?code=92853&amp;lang=eng</x:v>
      </x:c>
      <x:c r="C59" s="164" t="str">
        <x:v>Health Canada DPD</x:v>
      </x:c>
      <x:c r="D59" s="164" t="str">
        <x:v>Tier 1 - Canadian government directory</x:v>
      </x:c>
      <x:c r="E59" s="164" t="str">
        <x:v>CA Colgate: COLGATE TOTAL ACTIVE PREVENTION</x:v>
      </x:c>
      <x:c r="F59" s="164" t="str">
        <x:v>SKU Library</x:v>
      </x:c>
      <x:c r="G59" s="167" t="str">
        <x:v>2026-08-31</x:v>
      </x:c>
    </x:row>
    <x:row r="60" ht="18" customHeight="1">
      <x:c r="A60" s="163" t="str">
        <x:v>SRC-0059</x:v>
      </x:c>
      <x:c r="B60" s="164" t="str">
        <x:v>https://health-products.canada.ca/dpd-bdpp/info?code=93375&amp;lang=eng</x:v>
      </x:c>
      <x:c r="C60" s="164" t="str">
        <x:v>Health Canada DPD</x:v>
      </x:c>
      <x:c r="D60" s="164" t="str">
        <x:v>Tier 1 - Canadian government directory</x:v>
      </x:c>
      <x:c r="E60" s="164" t="str">
        <x:v>CA hello: HELLO CLEAN MINT</x:v>
      </x:c>
      <x:c r="F60" s="164" t="str">
        <x:v>SKU Library</x:v>
      </x:c>
      <x:c r="G60" s="167" t="str">
        <x:v>2026-08-31</x:v>
      </x:c>
    </x:row>
    <x:row r="61" ht="18" customHeight="1">
      <x:c r="A61" s="163" t="str">
        <x:v>SRC-0060</x:v>
      </x:c>
      <x:c r="B61" s="164" t="str">
        <x:v>https://health-products.canada.ca/dpd-bdpp/info?code=93376&amp;lang=eng</x:v>
      </x:c>
      <x:c r="C61" s="164" t="str">
        <x:v>Health Canada DPD</x:v>
      </x:c>
      <x:c r="D61" s="164" t="str">
        <x:v>Tier 1 - Canadian government directory</x:v>
      </x:c>
      <x:c r="E61" s="164" t="str">
        <x:v>CA hello: HELLO EXTRA MINTY</x:v>
      </x:c>
      <x:c r="F61" s="164" t="str">
        <x:v>SKU Library</x:v>
      </x:c>
      <x:c r="G61" s="167" t="str">
        <x:v>2026-08-31</x:v>
      </x:c>
    </x:row>
    <x:row r="62" ht="18" customHeight="1">
      <x:c r="A62" s="163" t="str">
        <x:v>SRC-0061</x:v>
      </x:c>
      <x:c r="B62" s="164" t="str">
        <x:v>https://health-products.canada.ca/dpd-bdpp/info?code=95901&amp;lang=eng</x:v>
      </x:c>
      <x:c r="C62" s="164" t="str">
        <x:v>Health Canada DPD</x:v>
      </x:c>
      <x:c r="D62" s="164" t="str">
        <x:v>Tier 1 - Canadian government directory</x:v>
      </x:c>
      <x:c r="E62" s="164" t="str">
        <x:v>CA Colgate: COLGATE ANTIGINGIVITIS ANTIPLAQUE TOTAL</x:v>
      </x:c>
      <x:c r="F62" s="164" t="str">
        <x:v>SKU Library</x:v>
      </x:c>
      <x:c r="G62" s="167" t="str">
        <x:v>2026-08-31</x:v>
      </x:c>
    </x:row>
    <x:row r="63" ht="18" customHeight="1">
      <x:c r="A63" s="163" t="str">
        <x:v>SRC-0062</x:v>
      </x:c>
      <x:c r="B63" s="164" t="str">
        <x:v>https://health-products.canada.ca/lnhpd-bdpsnh/info?licence=02248410</x:v>
      </x:c>
      <x:c r="C63" s="164" t="str">
        <x:v>Health Canada LNHPD</x:v>
      </x:c>
      <x:c r="D63" s="164" t="str">
        <x:v>Tier 1 - Canadian government directory</x:v>
      </x:c>
      <x:c r="E63" s="164" t="str">
        <x:v>CA Colgate: COLGATE MaxFresh</x:v>
      </x:c>
      <x:c r="F63" s="164" t="str">
        <x:v>SKU Library</x:v>
      </x:c>
      <x:c r="G63" s="167" t="str">
        <x:v>2026-08-31</x:v>
      </x:c>
    </x:row>
    <x:row r="64" ht="18" customHeight="1">
      <x:c r="A64" s="163" t="str">
        <x:v>SRC-0063</x:v>
      </x:c>
      <x:c r="B64" s="164" t="str">
        <x:v>https://health-products.canada.ca/lnhpd-bdpsnh/info?licence=80000133</x:v>
      </x:c>
      <x:c r="C64" s="164" t="str">
        <x:v>Health Canada LNHPD</x:v>
      </x:c>
      <x:c r="D64" s="164" t="str">
        <x:v>Tier 1 - Canadian government directory</x:v>
      </x:c>
      <x:c r="E64" s="164" t="str">
        <x:v>CA Colgate: Colgate Sensitive</x:v>
      </x:c>
      <x:c r="F64" s="164" t="str">
        <x:v>SKU Library</x:v>
      </x:c>
      <x:c r="G64" s="167" t="str">
        <x:v>2026-08-31</x:v>
      </x:c>
    </x:row>
    <x:row r="65" ht="18" customHeight="1">
      <x:c r="A65" s="163" t="str">
        <x:v>SRC-0064</x:v>
      </x:c>
      <x:c r="B65" s="164" t="str">
        <x:v>https://health-products.canada.ca/lnhpd-bdpsnh/info?licence=80011366</x:v>
      </x:c>
      <x:c r="C65" s="164" t="str">
        <x:v>Health Canada LNHPD</x:v>
      </x:c>
      <x:c r="D65" s="164" t="str">
        <x:v>Tier 1 - Canadian government directory</x:v>
      </x:c>
      <x:c r="E65" s="164" t="str">
        <x:v>CA Colgate: PreviDent 5000 Booster</x:v>
      </x:c>
      <x:c r="F65" s="164" t="str">
        <x:v>SKU Library</x:v>
      </x:c>
      <x:c r="G65" s="167" t="str">
        <x:v>2026-08-31</x:v>
      </x:c>
    </x:row>
    <x:row r="66" ht="18" customHeight="1">
      <x:c r="A66" s="163" t="str">
        <x:v>SRC-0065</x:v>
      </x:c>
      <x:c r="B66" s="164" t="str">
        <x:v>https://health-products.canada.ca/lnhpd-bdpsnh/info?licence=80019067</x:v>
      </x:c>
      <x:c r="C66" s="164" t="str">
        <x:v>Health Canada LNHPD</x:v>
      </x:c>
      <x:c r="D66" s="164" t="str">
        <x:v>Tier 1 - Canadian government directory</x:v>
      </x:c>
      <x:c r="E66" s="164" t="str">
        <x:v>CA Colgate: PreviDent 5000 ppm Sensitive</x:v>
      </x:c>
      <x:c r="F66" s="164" t="str">
        <x:v>SKU Library</x:v>
      </x:c>
      <x:c r="G66" s="167" t="str">
        <x:v>2026-08-31</x:v>
      </x:c>
    </x:row>
    <x:row r="67" ht="18" customHeight="1">
      <x:c r="A67" s="163" t="str">
        <x:v>SRC-0066</x:v>
      </x:c>
      <x:c r="B67" s="164" t="str">
        <x:v>https://health-products.canada.ca/lnhpd-bdpsnh/info?licence=80023029</x:v>
      </x:c>
      <x:c r="C67" s="164" t="str">
        <x:v>Health Canada LNHPD</x:v>
      </x:c>
      <x:c r="D67" s="164" t="str">
        <x:v>Tier 1 - Canadian government directory</x:v>
      </x:c>
      <x:c r="E67" s="164" t="str">
        <x:v>CA Colgate: PreviDent Varnish</x:v>
      </x:c>
      <x:c r="F67" s="164" t="str">
        <x:v>SKU Library</x:v>
      </x:c>
      <x:c r="G67" s="167" t="str">
        <x:v>2026-08-31</x:v>
      </x:c>
    </x:row>
    <x:row r="68" ht="18" customHeight="1">
      <x:c r="A68" s="163" t="str">
        <x:v>SRC-0067</x:v>
      </x:c>
      <x:c r="B68" s="164" t="str">
        <x:v>https://health-products.canada.ca/lnhpd-bdpsnh/info?licence=80032257</x:v>
      </x:c>
      <x:c r="C68" s="164" t="str">
        <x:v>Health Canada LNHPD</x:v>
      </x:c>
      <x:c r="D68" s="164" t="str">
        <x:v>Tier 1 - Canadian government directory</x:v>
      </x:c>
      <x:c r="E68" s="164" t="str">
        <x:v>CA Colgate: Colgate Optic White</x:v>
      </x:c>
      <x:c r="F68" s="164" t="str">
        <x:v>SKU Library</x:v>
      </x:c>
      <x:c r="G68" s="167" t="str">
        <x:v>2026-08-31</x:v>
      </x:c>
    </x:row>
    <x:row r="69" ht="18" customHeight="1">
      <x:c r="A69" s="163" t="str">
        <x:v>SRC-0068</x:v>
      </x:c>
      <x:c r="B69" s="164" t="str">
        <x:v>https://health-products.canada.ca/lnhpd-bdpsnh/info?licence=80035527</x:v>
      </x:c>
      <x:c r="C69" s="164" t="str">
        <x:v>Health Canada LNHPD</x:v>
      </x:c>
      <x:c r="D69" s="164" t="str">
        <x:v>Tier 1 - Canadian government directory</x:v>
      </x:c>
      <x:c r="E69" s="164" t="str">
        <x:v>CA Colgate: Colgate Sensitive Pro-Relief</x:v>
      </x:c>
      <x:c r="F69" s="164" t="str">
        <x:v>SKU Library</x:v>
      </x:c>
      <x:c r="G69" s="167" t="str">
        <x:v>2026-08-31</x:v>
      </x:c>
    </x:row>
    <x:row r="70" ht="18" customHeight="1">
      <x:c r="A70" s="163" t="str">
        <x:v>SRC-0069</x:v>
      </x:c>
      <x:c r="B70" s="164" t="str">
        <x:v>https://health-products.canada.ca/lnhpd-bdpsnh/info?licence=80065338</x:v>
      </x:c>
      <x:c r="C70" s="164" t="str">
        <x:v>Health Canada LNHPD</x:v>
      </x:c>
      <x:c r="D70" s="164" t="str">
        <x:v>Tier 1 - Canadian government directory</x:v>
      </x:c>
      <x:c r="E70" s="164" t="str">
        <x:v>CA Colgate: Colgate MaxFresh</x:v>
      </x:c>
      <x:c r="F70" s="164" t="str">
        <x:v>SKU Library</x:v>
      </x:c>
      <x:c r="G70" s="167" t="str">
        <x:v>2026-08-31</x:v>
      </x:c>
    </x:row>
    <x:row r="71" ht="18" customHeight="1">
      <x:c r="A71" s="163" t="str">
        <x:v>SRC-0070</x:v>
      </x:c>
      <x:c r="B71" s="164" t="str">
        <x:v>https://health-products.canada.ca/lnhpd-bdpsnh/info?licence=80128874</x:v>
      </x:c>
      <x:c r="C71" s="164" t="str">
        <x:v>Health Canada LNHPD</x:v>
      </x:c>
      <x:c r="D71" s="164" t="str">
        <x:v>Tier 1 - Canadian government directory</x:v>
      </x:c>
      <x:c r="E71" s="164" t="str">
        <x:v>CA Colgate: Colgate Total</x:v>
      </x:c>
      <x:c r="F71" s="164" t="str">
        <x:v>SKU Library</x:v>
      </x:c>
      <x:c r="G71" s="167" t="str">
        <x:v>2026-08-31</x:v>
      </x:c>
    </x:row>
    <x:row r="72" ht="18" customHeight="1">
      <x:c r="A72" s="163" t="str">
        <x:v>SRC-0071</x:v>
      </x:c>
      <x:c r="B72" s="164" t="str">
        <x:v>https://int.filorga.com/collections/creams-of-day</x:v>
      </x:c>
      <x:c r="C72" s="164" t="str">
        <x:v>Official product page</x:v>
      </x:c>
      <x:c r="D72" s="164" t="str">
        <x:v>Tier 1 - first party</x:v>
      </x:c>
      <x:c r="E72" s="164" t="str">
        <x:v>USA FILORGA: DAY CREAMS</x:v>
      </x:c>
      <x:c r="F72" s="164" t="str">
        <x:v>SKU Library</x:v>
      </x:c>
      <x:c r="G72" s="167" t="str">
        <x:v>2026-08-31</x:v>
      </x:c>
    </x:row>
    <x:row r="73" ht="18" customHeight="1">
      <x:c r="A73" s="163" t="str">
        <x:v>SRC-0072</x:v>
      </x:c>
      <x:c r="B73" s="164" t="str">
        <x:v>https://int.filorga.com/product/oxygen-peel/</x:v>
      </x:c>
      <x:c r="C73" s="164" t="str">
        <x:v>Official product page</x:v>
      </x:c>
      <x:c r="D73" s="164" t="str">
        <x:v>Tier 1 - first party</x:v>
      </x:c>
      <x:c r="E73" s="164" t="str">
        <x:v>USA FILORGA: OXYGEN-PEEL - Filorga International</x:v>
      </x:c>
      <x:c r="F73" s="164" t="str">
        <x:v>SKU Library</x:v>
      </x:c>
      <x:c r="G73" s="167" t="str">
        <x:v>2026-08-31</x:v>
      </x:c>
    </x:row>
    <x:row r="74" ht="18" customHeight="1">
      <x:c r="A74" s="163" t="str">
        <x:v>SRC-0073</x:v>
      </x:c>
      <x:c r="B74" s="164" t="str">
        <x:v>https://int.filorga.com/products/age-purify-intensive</x:v>
      </x:c>
      <x:c r="C74" s="164" t="str">
        <x:v>Official product page</x:v>
      </x:c>
      <x:c r="D74" s="164" t="str">
        <x:v>Tier 1 - first party</x:v>
      </x:c>
      <x:c r="E74" s="164" t="str">
        <x:v>USA FILORGA: Anti-wrinkle and anti-blemish face serum - AGE-PURIFY INTENSIVE – Filorga International</x:v>
      </x:c>
      <x:c r="F74" s="164" t="str">
        <x:v>SKU Library</x:v>
      </x:c>
      <x:c r="G74" s="167" t="str">
        <x:v>2026-08-31</x:v>
      </x:c>
    </x:row>
    <x:row r="75" ht="18" customHeight="1">
      <x:c r="A75" s="163" t="str">
        <x:v>SRC-0074</x:v>
      </x:c>
      <x:c r="B75" s="164" t="str">
        <x:v>https://int.filorga.com/products/lift-structure</x:v>
      </x:c>
      <x:c r="C75" s="164" t="str">
        <x:v>Official product page</x:v>
      </x:c>
      <x:c r="D75" s="164" t="str">
        <x:v>Tier 1 - first party</x:v>
      </x:c>
      <x:c r="E75" s="164" t="str">
        <x:v>USA FILORGA: LIFT-STRUCTURE - Ultra lifting firming face cream – Filorga International</x:v>
      </x:c>
      <x:c r="F75" s="164" t="str">
        <x:v>SKU Library</x:v>
      </x:c>
      <x:c r="G75" s="167" t="str">
        <x:v>2026-08-31</x:v>
      </x:c>
    </x:row>
    <x:row r="76" ht="18" customHeight="1">
      <x:c r="A76" s="163" t="str">
        <x:v>SRC-0075</x:v>
      </x:c>
      <x:c r="B76" s="164" t="str">
        <x:v>https://int.filorga.com/products/ncef-essence</x:v>
      </x:c>
      <x:c r="C76" s="164" t="str">
        <x:v>Official product page</x:v>
      </x:c>
      <x:c r="D76" s="164" t="str">
        <x:v>Tier 1 - first party</x:v>
      </x:c>
      <x:c r="E76" s="164" t="str">
        <x:v>USA FILORGA: Anti-ageing hydrating lotion - NCEF-ESSENCE – Filorga International</x:v>
      </x:c>
      <x:c r="F76" s="164" t="str">
        <x:v>SKU Library</x:v>
      </x:c>
      <x:c r="G76" s="167" t="str">
        <x:v>2026-08-31</x:v>
      </x:c>
    </x:row>
    <x:row r="77" ht="18" customHeight="1">
      <x:c r="A77" s="163" t="str">
        <x:v>SRC-0076</x:v>
      </x:c>
      <x:c r="B77" s="164" t="str">
        <x:v>https://int.filorga.com/products/oxygen-glow</x:v>
      </x:c>
      <x:c r="C77" s="164" t="str">
        <x:v>Official product page</x:v>
      </x:c>
      <x:c r="D77" s="164" t="str">
        <x:v>Tier 1 - first party</x:v>
      </x:c>
      <x:c r="E77" s="164" t="str">
        <x:v>USA FILORGA: OXYGEN GLOW - Smoothing and radiant face cream – Filorga International</x:v>
      </x:c>
      <x:c r="F77" s="164" t="str">
        <x:v>SKU Library</x:v>
      </x:c>
      <x:c r="G77" s="167" t="str">
        <x:v>2026-08-31</x:v>
      </x:c>
    </x:row>
    <x:row r="78" ht="18" customHeight="1">
      <x:c r="A78" s="163" t="str">
        <x:v>SRC-0077</x:v>
      </x:c>
      <x:c r="B78" s="164" t="str">
        <x:v>https://int.filorga.com/products/oxygen-peel</x:v>
      </x:c>
      <x:c r="C78" s="164" t="str">
        <x:v>Official product page</x:v>
      </x:c>
      <x:c r="D78" s="164" t="str">
        <x:v>Tier 1 - first party</x:v>
      </x:c>
      <x:c r="E78" s="164" t="str">
        <x:v>USA FILORGA: Anti-ageing peeling lotion - OXYGEN-PEEL – Filorga International</x:v>
      </x:c>
      <x:c r="F78" s="164" t="str">
        <x:v>SKU Library</x:v>
      </x:c>
      <x:c r="G78" s="167" t="str">
        <x:v>2026-08-31</x:v>
      </x:c>
    </x:row>
    <x:row r="79" ht="18" customHeight="1">
      <x:c r="A79" s="163" t="str">
        <x:v>SRC-0078</x:v>
      </x:c>
      <x:c r="B79" s="164" t="str">
        <x:v>https://int.filorga.com/products/time-filler-5xp-gel-creme</x:v>
      </x:c>
      <x:c r="C79" s="164" t="str">
        <x:v>Official product page</x:v>
      </x:c>
      <x:c r="D79" s="164" t="str">
        <x:v>Tier 1 - first party</x:v>
      </x:c>
      <x:c r="E79" s="164" t="str">
        <x:v>USA FILORGA: TIME-FILLER 5XP GEL CREAM - Anti-wrinkle mattifying gel-cream – Filorga International</x:v>
      </x:c>
      <x:c r="F79" s="164" t="str">
        <x:v>SKU Library</x:v>
      </x:c>
      <x:c r="G79" s="167" t="str">
        <x:v>2026-08-31</x:v>
      </x:c>
    </x:row>
    <x:row r="80" ht="18" customHeight="1">
      <x:c r="A80" s="163" t="str">
        <x:v>SRC-0079</x:v>
      </x:c>
      <x:c r="B80" s="164" t="str">
        <x:v>https://int.filorga.com/products/time-filler-mask</x:v>
      </x:c>
      <x:c r="C80" s="164" t="str">
        <x:v>Official product page</x:v>
      </x:c>
      <x:c r="D80" s="164" t="str">
        <x:v>Tier 1 - first party</x:v>
      </x:c>
      <x:c r="E80" s="164" t="str">
        <x:v>USA FILORGA: TIME-FILLER MASK - Collagen smoothing sheet mas – Filorga International</x:v>
      </x:c>
      <x:c r="F80" s="164" t="str">
        <x:v>SKU Library</x:v>
      </x:c>
      <x:c r="G80" s="167" t="str">
        <x:v>2026-08-31</x:v>
      </x:c>
    </x:row>
    <x:row r="81" ht="18" customHeight="1">
      <x:c r="A81" s="163" t="str">
        <x:v>SRC-0080</x:v>
      </x:c>
      <x:c r="B81" s="164" t="str">
        <x:v>https://int.filorga.com/products/time-filler-night-5xp</x:v>
      </x:c>
      <x:c r="C81" s="164" t="str">
        <x:v>Official product page</x:v>
      </x:c>
      <x:c r="D81" s="164" t="str">
        <x:v>Tier 1 - first party</x:v>
      </x:c>
      <x:c r="E81" s="164" t="str">
        <x:v>USA FILORGA: TIME-FILLER NIGHT 5XP - Wrinkle-smoothing night cream – Filorga International</x:v>
      </x:c>
      <x:c r="F81" s="164" t="str">
        <x:v>SKU Library</x:v>
      </x:c>
      <x:c r="G81" s="167" t="str">
        <x:v>2026-08-31</x:v>
      </x:c>
    </x:row>
    <x:row r="82" ht="18" customHeight="1">
      <x:c r="A82" s="163" t="str">
        <x:v>SRC-0081</x:v>
      </x:c>
      <x:c r="B82" s="164" t="str">
        <x:v>https://investor.colgatepalmolive.com/news-releases/news-release-details/colgate-announces-2nd-quarter-2026-results</x:v>
      </x:c>
      <x:c r="C82" s="164" t="str">
        <x:v>Official earnings release</x:v>
      </x:c>
      <x:c r="D82" s="164" t="str">
        <x:v>Tier 1 - corporate filing</x:v>
      </x:c>
      <x:c r="E82" s="164" t="str">
        <x:v>2Q 2026 results, global and U.S. share, guidance and advertising direction</x:v>
      </x:c>
      <x:c r="F82" s="164" t="str">
        <x:v>Brand Repository; Q4 Focus</x:v>
      </x:c>
      <x:c r="G82" s="167" t="str">
        <x:v>2026-08-31</x:v>
      </x:c>
    </x:row>
    <x:row r="83" ht="18" customHeight="1">
      <x:c r="A83" s="163" t="str">
        <x:v>SRC-0082</x:v>
      </x:c>
      <x:c r="B83" s="164" t="str">
        <x:v>https://investor.colgatepalmolive.com/static-files/7e4a792d-9898-4f39-a32b-de64895f4b0c</x:v>
      </x:c>
      <x:c r="C83" s="164" t="str">
        <x:v>Availability evidence</x:v>
      </x:c>
      <x:c r="D83" s="164" t="str">
        <x:v>Tier 1</x:v>
      </x:c>
      <x:c r="E83" s="164" t="str">
        <x:v>Market presence</x:v>
      </x:c>
      <x:c r="F83" s="164" t="str">
        <x:v>Brand Repository: USA Lady Speed Stick; SKU Library</x:v>
      </x:c>
      <x:c r="G83" s="167" t="str">
        <x:v>2026-08-31</x:v>
      </x:c>
    </x:row>
    <x:row r="84" ht="18" customHeight="1">
      <x:c r="A84" s="163" t="str">
        <x:v>SRC-0083</x:v>
      </x:c>
      <x:c r="B84" s="164" t="str">
        <x:v>https://investor.colgatepalmolive.com/static-files/c4a7e20c-1aa8-4bb1-bd4b-74755c99688f</x:v>
      </x:c>
      <x:c r="C84" s="164" t="str">
        <x:v>SEC-filed annual report</x:v>
      </x:c>
      <x:c r="D84" s="164" t="str">
        <x:v>Tier 1 - corporate filing</x:v>
      </x:c>
      <x:c r="E84" s="164" t="str">
        <x:v>2025 sales pools, advertising intensity, customer concentration, U.S. and North America sales</x:v>
      </x:c>
      <x:c r="F84" s="164" t="str">
        <x:v>Brand Repository; Assumptions</x:v>
      </x:c>
      <x:c r="G84" s="167" t="str">
        <x:v>2026-08-31</x:v>
      </x:c>
    </x:row>
    <x:row r="85" ht="18" customHeight="1">
      <x:c r="A85" s="163" t="str">
        <x:v>SRC-0084</x:v>
      </x:c>
      <x:c r="B85" s="164" t="str">
        <x:v>https://investor.colgatepalmolive.com/static-files/ca92df4c-8d85-4df1-bf67-c2b76b8b36fe</x:v>
      </x:c>
      <x:c r="C85" s="164" t="str">
        <x:v>Official management remarks</x:v>
      </x:c>
      <x:c r="D85" s="164" t="str">
        <x:v>Tier 1 - corporate filing</x:v>
      </x:c>
      <x:c r="E85" s="164" t="str">
        <x:v>North America performance, Colgate/Fabuloso priorities, Hill’s growth and Single Protein rollout</x:v>
      </x:c>
      <x:c r="F85" s="164" t="str">
        <x:v>Brand Repository; Q4 Focus; Brand Repository: USA Colgate; Brand Repository: USA Fabuloso; Brand Repository: USA Hill's Prescription Diet; Brand Repository: USA Hill's Science Diet; Brand Repository: CA Colgate; Brand Repository: CA Fabuloso; Brand Repository: CA Hill's Prescription Diet; Brand Repository: CA Hill's Science Diet</x:v>
      </x:c>
      <x:c r="G85" s="167" t="str">
        <x:v>2026-08-31</x:v>
      </x:c>
    </x:row>
    <x:row r="86" ht="18" customHeight="1">
      <x:c r="A86" s="163" t="str">
        <x:v>SRC-0085</x:v>
      </x:c>
      <x:c r="B86" s="164" t="str">
        <x:v>https://pcaskin.com/products/body-therapy?bvstate=pg%3A2%2Fct%3Ar</x:v>
      </x:c>
      <x:c r="C86" s="164" t="str">
        <x:v>Availability evidence</x:v>
      </x:c>
      <x:c r="D86" s="164" t="str">
        <x:v>Tier 1</x:v>
      </x:c>
      <x:c r="E86" s="164" t="str">
        <x:v>Market presence</x:v>
      </x:c>
      <x:c r="F86" s="164" t="str">
        <x:v>Brand Repository: USA PCA SKIN; SKU Library</x:v>
      </x:c>
      <x:c r="G86" s="167" t="str">
        <x:v>2026-08-31</x:v>
      </x:c>
    </x:row>
    <x:row r="87" ht="18" customHeight="1">
      <x:c r="A87" s="163" t="str">
        <x:v>SRC-0086</x:v>
      </x:c>
      <x:c r="B87" s="164" t="str">
        <x:v>https://pcaskin.com/products/c-and-e-advanced</x:v>
      </x:c>
      <x:c r="C87" s="164" t="str">
        <x:v>Official product page</x:v>
      </x:c>
      <x:c r="D87" s="164" t="str">
        <x:v>Tier 1 - first party</x:v>
      </x:c>
      <x:c r="E87" s="164" t="str">
        <x:v>USA PCA SKIN: C&amp;E Advanced | Antioxidant Treatment</x:v>
      </x:c>
      <x:c r="F87" s="164" t="str">
        <x:v>SKU Library</x:v>
      </x:c>
      <x:c r="G87" s="167" t="str">
        <x:v>2026-08-31</x:v>
      </x:c>
    </x:row>
    <x:row r="88" ht="18" customHeight="1">
      <x:c r="A88" s="163" t="str">
        <x:v>SRC-0087</x:v>
      </x:c>
      <x:c r="B88" s="164" t="str">
        <x:v>https://pcaskin.com/products/clearskin-moisturizer</x:v>
      </x:c>
      <x:c r="C88" s="164" t="str">
        <x:v>Official product page</x:v>
      </x:c>
      <x:c r="D88" s="164" t="str">
        <x:v>Tier 1 - first party</x:v>
      </x:c>
      <x:c r="E88" s="164" t="str">
        <x:v>USA PCA SKIN: Clearskin | Lightweight Moisturizer</x:v>
      </x:c>
      <x:c r="F88" s="164" t="str">
        <x:v>SKU Library</x:v>
      </x:c>
      <x:c r="G88" s="167" t="str">
        <x:v>2026-08-31</x:v>
      </x:c>
    </x:row>
    <x:row r="89" ht="18" customHeight="1">
      <x:c r="A89" s="163" t="str">
        <x:v>SRC-0088</x:v>
      </x:c>
      <x:c r="B89" s="164" t="str">
        <x:v>https://pcaskin.com/products/collagen-hydrator</x:v>
      </x:c>
      <x:c r="C89" s="164" t="str">
        <x:v>Official product page</x:v>
      </x:c>
      <x:c r="D89" s="164" t="str">
        <x:v>Tier 1 - first party</x:v>
      </x:c>
      <x:c r="E89" s="164" t="str">
        <x:v>USA PCA SKIN: Collagen Hydrator | Rich Moisturizer</x:v>
      </x:c>
      <x:c r="F89" s="164" t="str">
        <x:v>SKU Library</x:v>
      </x:c>
      <x:c r="G89" s="167" t="str">
        <x:v>2026-08-31</x:v>
      </x:c>
    </x:row>
    <x:row r="90" ht="18" customHeight="1">
      <x:c r="A90" s="163" t="str">
        <x:v>SRC-0089</x:v>
      </x:c>
      <x:c r="B90" s="164" t="str">
        <x:v>https://pcaskin.com/products/daily-exfoliant</x:v>
      </x:c>
      <x:c r="C90" s="164" t="str">
        <x:v>Official product page</x:v>
      </x:c>
      <x:c r="D90" s="164" t="str">
        <x:v>Tier 1 - first party</x:v>
      </x:c>
      <x:c r="E90" s="164" t="str">
        <x:v>USA PCA SKIN: Daily Exfoliant | Gentle, Moisturizing Exfoliant</x:v>
      </x:c>
      <x:c r="F90" s="164" t="str">
        <x:v>SKU Library</x:v>
      </x:c>
      <x:c r="G90" s="167" t="str">
        <x:v>2026-08-31</x:v>
      </x:c>
    </x:row>
    <x:row r="91" ht="18" customHeight="1">
      <x:c r="A91" s="163" t="str">
        <x:v>SRC-0090</x:v>
      </x:c>
      <x:c r="B91" s="164" t="str">
        <x:v>https://pcaskin.com/products/exlinea-peptide-smoothing-serum</x:v>
      </x:c>
      <x:c r="C91" s="164" t="str">
        <x:v>Official product page</x:v>
      </x:c>
      <x:c r="D91" s="164" t="str">
        <x:v>Tier 1 - first party</x:v>
      </x:c>
      <x:c r="E91" s="164" t="str">
        <x:v>USA PCA SKIN: ExLinea® Peptide Smoothing Serum | Firms Skin</x:v>
      </x:c>
      <x:c r="F91" s="164" t="str">
        <x:v>SKU Library</x:v>
      </x:c>
      <x:c r="G91" s="167" t="str">
        <x:v>2026-08-31</x:v>
      </x:c>
    </x:row>
    <x:row r="92" ht="18" customHeight="1">
      <x:c r="A92" s="163" t="str">
        <x:v>SRC-0091</x:v>
      </x:c>
      <x:c r="B92" s="164" t="str">
        <x:v>https://pcaskin.com/products/exlinea-pro-peptide-serum</x:v>
      </x:c>
      <x:c r="C92" s="164" t="str">
        <x:v>Official product page</x:v>
      </x:c>
      <x:c r="D92" s="164" t="str">
        <x:v>Tier 1 - first party</x:v>
      </x:c>
      <x:c r="E92" s="164" t="str">
        <x:v>USA PCA SKIN: ExLinea® Pro Peptide Serum | Tighten and Firm Skin</x:v>
      </x:c>
      <x:c r="F92" s="164" t="str">
        <x:v>SKU Library</x:v>
      </x:c>
      <x:c r="G92" s="167" t="str">
        <x:v>2026-08-31</x:v>
      </x:c>
    </x:row>
    <x:row r="93" ht="18" customHeight="1">
      <x:c r="A93" s="163" t="str">
        <x:v>SRC-0092</x:v>
      </x:c>
      <x:c r="B93" s="164" t="str">
        <x:v>https://pcaskin.com/products/facial-wash</x:v>
      </x:c>
      <x:c r="C93" s="164" t="str">
        <x:v>Official product page</x:v>
      </x:c>
      <x:c r="D93" s="164" t="str">
        <x:v>Tier 1 - first party</x:v>
      </x:c>
      <x:c r="E93" s="164" t="str">
        <x:v>USA PCA SKIN: Facial Wash | Gentle, Hydrating Facial Cleanser</x:v>
      </x:c>
      <x:c r="F93" s="164" t="str">
        <x:v>SKU Library</x:v>
      </x:c>
      <x:c r="G93" s="167" t="str">
        <x:v>2026-08-31</x:v>
      </x:c>
    </x:row>
    <x:row r="94" ht="18" customHeight="1">
      <x:c r="A94" s="163" t="str">
        <x:v>SRC-0093</x:v>
      </x:c>
      <x:c r="B94" s="164" t="str">
        <x:v>https://pcaskin.com/products/hyaluronic-acid-boosting-serum</x:v>
      </x:c>
      <x:c r="C94" s="164" t="str">
        <x:v>Official product page</x:v>
      </x:c>
      <x:c r="D94" s="164" t="str">
        <x:v>Tier 1 - first party</x:v>
      </x:c>
      <x:c r="E94" s="164" t="str">
        <x:v>USA PCA SKIN: Hyaluronic Acid Boosting Serum | Deep Hydration</x:v>
      </x:c>
      <x:c r="F94" s="164" t="str">
        <x:v>SKU Library</x:v>
      </x:c>
      <x:c r="G94" s="167" t="str">
        <x:v>2026-08-31</x:v>
      </x:c>
    </x:row>
    <x:row r="95" ht="18" customHeight="1">
      <x:c r="A95" s="163" t="str">
        <x:v>SRC-0094</x:v>
      </x:c>
      <x:c r="B95" s="164" t="str">
        <x:v>https://pcaskin.com/products/hydramatte</x:v>
      </x:c>
      <x:c r="C95" s="164" t="str">
        <x:v>Official product page</x:v>
      </x:c>
      <x:c r="D95" s="164" t="str">
        <x:v>Tier 1 - first party</x:v>
      </x:c>
      <x:c r="E95" s="164" t="str">
        <x:v>USA PCA SKIN: HydraMatte | Matte Finish Moisturizer</x:v>
      </x:c>
      <x:c r="F95" s="164" t="str">
        <x:v>SKU Library</x:v>
      </x:c>
      <x:c r="G95" s="167" t="str">
        <x:v>2026-08-31</x:v>
      </x:c>
    </x:row>
    <x:row r="96" ht="18" customHeight="1">
      <x:c r="A96" s="163" t="str">
        <x:v>SRC-0095</x:v>
      </x:c>
      <x:c r="B96" s="164" t="str">
        <x:v>https://pcaskin.com/products/hydrating-mask</x:v>
      </x:c>
      <x:c r="C96" s="164" t="str">
        <x:v>Official product page</x:v>
      </x:c>
      <x:c r="D96" s="164" t="str">
        <x:v>Tier 1 - first party</x:v>
      </x:c>
      <x:c r="E96" s="164" t="str">
        <x:v>USA PCA SKIN: Hydrating Mask</x:v>
      </x:c>
      <x:c r="F96" s="164" t="str">
        <x:v>SKU Library</x:v>
      </x:c>
      <x:c r="G96" s="167" t="str">
        <x:v>2026-08-31</x:v>
      </x:c>
    </x:row>
    <x:row r="97" ht="18" customHeight="1">
      <x:c r="A97" s="163" t="str">
        <x:v>SRC-0096</x:v>
      </x:c>
      <x:c r="B97" s="164" t="str">
        <x:v>https://pcaskin.com/products/hydrating-serum</x:v>
      </x:c>
      <x:c r="C97" s="164" t="str">
        <x:v>Official product page</x:v>
      </x:c>
      <x:c r="D97" s="164" t="str">
        <x:v>Tier 1 - first party</x:v>
      </x:c>
      <x:c r="E97" s="164" t="str">
        <x:v>USA PCA SKIN: Hydrating Serum | Weightless Hydration</x:v>
      </x:c>
      <x:c r="F97" s="164" t="str">
        <x:v>SKU Library</x:v>
      </x:c>
      <x:c r="G97" s="167" t="str">
        <x:v>2026-08-31</x:v>
      </x:c>
    </x:row>
    <x:row r="98" ht="18" customHeight="1">
      <x:c r="A98" s="163" t="str">
        <x:v>SRC-0097</x:v>
      </x:c>
      <x:c r="B98" s="164" t="str">
        <x:v>https://pcaskin.com/products/hydrating-toner</x:v>
      </x:c>
      <x:c r="C98" s="164" t="str">
        <x:v>Official product page</x:v>
      </x:c>
      <x:c r="D98" s="164" t="str">
        <x:v>Tier 1 - first party</x:v>
      </x:c>
      <x:c r="E98" s="164" t="str">
        <x:v>USA PCA SKIN: Hydrating Toner | Improved Moisture Retention</x:v>
      </x:c>
      <x:c r="F98" s="164" t="str">
        <x:v>SKU Library</x:v>
      </x:c>
      <x:c r="G98" s="167" t="str">
        <x:v>2026-08-31</x:v>
      </x:c>
    </x:row>
    <x:row r="99" ht="18" customHeight="1">
      <x:c r="A99" s="163" t="str">
        <x:v>SRC-0098</x:v>
      </x:c>
      <x:c r="B99" s="164" t="str">
        <x:v>https://pcaskin.com/products/hydrator-plus-broad-spectrum-spf-30</x:v>
      </x:c>
      <x:c r="C99" s="164" t="str">
        <x:v>Official product page</x:v>
      </x:c>
      <x:c r="D99" s="164" t="str">
        <x:v>Tier 1 - first party</x:v>
      </x:c>
      <x:c r="E99" s="164" t="str">
        <x:v>USA PCA SKIN: Hydrator Plus Broad Spectrum SPF 30 | Sunscreen</x:v>
      </x:c>
      <x:c r="F99" s="164" t="str">
        <x:v>SKU Library</x:v>
      </x:c>
      <x:c r="G99" s="167" t="str">
        <x:v>2026-08-31</x:v>
      </x:c>
    </x:row>
    <x:row r="100" ht="18" customHeight="1">
      <x:c r="A100" s="163" t="str">
        <x:v>SRC-0099</x:v>
      </x:c>
      <x:c r="B100" s="164" t="str">
        <x:v>https://pcaskin.com/products/ideal-complex-restorative-eye-cream</x:v>
      </x:c>
      <x:c r="C100" s="164" t="str">
        <x:v>Official product page</x:v>
      </x:c>
      <x:c r="D100" s="164" t="str">
        <x:v>Tier 1 - first party</x:v>
      </x:c>
      <x:c r="E100" s="164" t="str">
        <x:v>USA PCA SKIN: Ideal Complex® Restorative Eye Cream</x:v>
      </x:c>
      <x:c r="F100" s="164" t="str">
        <x:v>SKU Library</x:v>
      </x:c>
      <x:c r="G100" s="167" t="str">
        <x:v>2026-08-31</x:v>
      </x:c>
    </x:row>
    <x:row r="101" ht="18" customHeight="1">
      <x:c r="A101" s="163" t="str">
        <x:v>SRC-0100</x:v>
      </x:c>
      <x:c r="B101" s="164" t="str">
        <x:v>https://pcaskin.com/products/intensive-age-refining-treatment-0pt5pct-pure-retinol</x:v>
      </x:c>
      <x:c r="C101" s="164" t="str">
        <x:v>Official product page</x:v>
      </x:c>
      <x:c r="D101" s="164" t="str">
        <x:v>Tier 1 - first party</x:v>
      </x:c>
      <x:c r="E101" s="164" t="str">
        <x:v>USA PCA SKIN: Intensive Age Refining Treatment®: 0.5% Retinol</x:v>
      </x:c>
      <x:c r="F101" s="164" t="str">
        <x:v>SKU Library</x:v>
      </x:c>
      <x:c r="G101" s="167" t="str">
        <x:v>2026-08-31</x:v>
      </x:c>
    </x:row>
    <x:row r="102" ht="18" customHeight="1">
      <x:c r="A102" s="163" t="str">
        <x:v>SRC-0101</x:v>
      </x:c>
      <x:c r="B102" s="164" t="str">
        <x:v>https://pcaskin.com/products/intensive-brightening-treatment-0pt5pct-pure-retinol</x:v>
      </x:c>
      <x:c r="C102" s="164" t="str">
        <x:v>Official product page</x:v>
      </x:c>
      <x:c r="D102" s="164" t="str">
        <x:v>Tier 1 - first party</x:v>
      </x:c>
      <x:c r="E102" s="164" t="str">
        <x:v>USA PCA SKIN: Intensive Brightening Treatment 0.5% Retinol</x:v>
      </x:c>
      <x:c r="F102" s="164" t="str">
        <x:v>SKU Library</x:v>
      </x:c>
      <x:c r="G102" s="167" t="str">
        <x:v>2026-08-31</x:v>
      </x:c>
    </x:row>
    <x:row r="103" ht="18" customHeight="1">
      <x:c r="A103" s="163" t="str">
        <x:v>SRC-0102</x:v>
      </x:c>
      <x:c r="B103" s="164" t="str">
        <x:v>https://pcaskin.com/products/intensive-clarity-treatment-0pt5pct-pure-retinol-and-salicylic-acid</x:v>
      </x:c>
      <x:c r="C103" s="164" t="str">
        <x:v>Official product page</x:v>
      </x:c>
      <x:c r="D103" s="164" t="str">
        <x:v>Tier 1 - first party</x:v>
      </x:c>
      <x:c r="E103" s="164" t="str">
        <x:v>USA PCA SKIN: Intensive Clarity Treatment®: 0.5% Retinol</x:v>
      </x:c>
      <x:c r="F103" s="164" t="str">
        <x:v>SKU Library</x:v>
      </x:c>
      <x:c r="G103" s="167" t="str">
        <x:v>2026-08-31</x:v>
      </x:c>
    </x:row>
    <x:row r="104" ht="18" customHeight="1">
      <x:c r="A104" s="163" t="str">
        <x:v>SRC-0103</x:v>
      </x:c>
      <x:c r="B104" s="164" t="str">
        <x:v>https://pcaskin.com/products/nutrient-toner</x:v>
      </x:c>
      <x:c r="C104" s="164" t="str">
        <x:v>Official product page</x:v>
      </x:c>
      <x:c r="D104" s="164" t="str">
        <x:v>Tier 1 - first party</x:v>
      </x:c>
      <x:c r="E104" s="164" t="str">
        <x:v>USA PCA SKIN: Nutrient Toner | Refine and Brighten Skin</x:v>
      </x:c>
      <x:c r="F104" s="164" t="str">
        <x:v>SKU Library</x:v>
      </x:c>
      <x:c r="G104" s="167" t="str">
        <x:v>2026-08-31</x:v>
      </x:c>
    </x:row>
    <x:row r="105" ht="18" customHeight="1">
      <x:c r="A105" s="163" t="str">
        <x:v>SRC-0104</x:v>
      </x:c>
      <x:c r="B105" s="164" t="str">
        <x:v>https://pcaskin.com/products/pigment-bar</x:v>
      </x:c>
      <x:c r="C105" s="164" t="str">
        <x:v>Official product page</x:v>
      </x:c>
      <x:c r="D105" s="164" t="str">
        <x:v>Tier 1 - first party</x:v>
      </x:c>
      <x:c r="E105" s="164" t="str">
        <x:v>USA PCA SKIN: Pigment Bar® | Evens Skin Tone</x:v>
      </x:c>
      <x:c r="F105" s="164" t="str">
        <x:v>SKU Library</x:v>
      </x:c>
      <x:c r="G105" s="167" t="str">
        <x:v>2026-08-31</x:v>
      </x:c>
    </x:row>
    <x:row r="106" ht="18" customHeight="1">
      <x:c r="A106" s="163" t="str">
        <x:v>SRC-0105</x:v>
      </x:c>
      <x:c r="B106" s="164" t="str">
        <x:v>https://pcaskin.com/products/pigment-gel-hq-free</x:v>
      </x:c>
      <x:c r="C106" s="164" t="str">
        <x:v>Official product page</x:v>
      </x:c>
      <x:c r="D106" s="164" t="str">
        <x:v>Tier 1 - first party</x:v>
      </x:c>
      <x:c r="E106" s="164" t="str">
        <x:v>USA PCA SKIN: Pigment Gel® HQ Free | Hydroquinone-Free Serum</x:v>
      </x:c>
      <x:c r="F106" s="164" t="str">
        <x:v>SKU Library</x:v>
      </x:c>
      <x:c r="G106" s="167" t="str">
        <x:v>2026-08-31</x:v>
      </x:c>
    </x:row>
    <x:row r="107" ht="18" customHeight="1">
      <x:c r="A107" s="163" t="str">
        <x:v>SRC-0106</x:v>
      </x:c>
      <x:c r="B107" s="164" t="str">
        <x:v>https://pcaskin.com/products/pigment-gel-pro</x:v>
      </x:c>
      <x:c r="C107" s="164" t="str">
        <x:v>Official product page</x:v>
      </x:c>
      <x:c r="D107" s="164" t="str">
        <x:v>Tier 1 - first party</x:v>
      </x:c>
      <x:c r="E107" s="164" t="str">
        <x:v>USA PCA SKIN: Pigment Gel® Pro | Reduce Discoloration</x:v>
      </x:c>
      <x:c r="F107" s="164" t="str">
        <x:v>SKU Library</x:v>
      </x:c>
      <x:c r="G107" s="167" t="str">
        <x:v>2026-08-31</x:v>
      </x:c>
    </x:row>
    <x:row r="108" ht="18" customHeight="1">
      <x:c r="A108" s="163" t="str">
        <x:v>SRC-0107</x:v>
      </x:c>
      <x:c r="B108" s="164" t="str">
        <x:v>https://pcaskin.com/products/resurfacing-serum</x:v>
      </x:c>
      <x:c r="C108" s="164" t="str">
        <x:v>Official product page</x:v>
      </x:c>
      <x:c r="D108" s="164" t="str">
        <x:v>Tier 1 - first party</x:v>
      </x:c>
      <x:c r="E108" s="164" t="str">
        <x:v>USA PCA SKIN: Resurfacing Serum | Improve Skin Texture</x:v>
      </x:c>
      <x:c r="F108" s="164" t="str">
        <x:v>SKU Library</x:v>
      </x:c>
      <x:c r="G108" s="167" t="str">
        <x:v>2026-08-31</x:v>
      </x:c>
    </x:row>
    <x:row r="109" ht="18" customHeight="1">
      <x:c r="A109" s="163" t="str">
        <x:v>SRC-0108</x:v>
      </x:c>
      <x:c r="B109" s="164" t="str">
        <x:v>https://pcaskin.com/products/silkcoat-balm</x:v>
      </x:c>
      <x:c r="C109" s="164" t="str">
        <x:v>Official product page</x:v>
      </x:c>
      <x:c r="D109" s="164" t="str">
        <x:v>Tier 1 - first party</x:v>
      </x:c>
      <x:c r="E109" s="164" t="str">
        <x:v>USA PCA SKIN: Silkcoat® Balm | Hydration for Aging Skin</x:v>
      </x:c>
      <x:c r="F109" s="164" t="str">
        <x:v>SKU Library</x:v>
      </x:c>
      <x:c r="G109" s="167" t="str">
        <x:v>2026-08-31</x:v>
      </x:c>
    </x:row>
    <x:row r="110" ht="18" customHeight="1">
      <x:c r="A110" s="163" t="str">
        <x:v>SRC-0109</x:v>
      </x:c>
      <x:c r="B110" s="164" t="str">
        <x:v>https://pcaskin.com/products/total-strength-serum</x:v>
      </x:c>
      <x:c r="C110" s="164" t="str">
        <x:v>Official product page</x:v>
      </x:c>
      <x:c r="D110" s="164" t="str">
        <x:v>Tier 1 - first party</x:v>
      </x:c>
      <x:c r="E110" s="164" t="str">
        <x:v>USA PCA SKIN: Total Strength Serum | Epidermal Growth Factor</x:v>
      </x:c>
      <x:c r="F110" s="164" t="str">
        <x:v>SKU Library</x:v>
      </x:c>
      <x:c r="G110" s="167" t="str">
        <x:v>2026-08-31</x:v>
      </x:c>
    </x:row>
    <x:row r="111" ht="18" customHeight="1">
      <x:c r="A111" s="163" t="str">
        <x:v>SRC-0110</x:v>
      </x:c>
      <x:c r="B111" s="164" t="str">
        <x:v>https://pcaskin.com/products/weightless-protection-broad-spectrum-spf-45</x:v>
      </x:c>
      <x:c r="C111" s="164" t="str">
        <x:v>Official product page</x:v>
      </x:c>
      <x:c r="D111" s="164" t="str">
        <x:v>Tier 1 - first party</x:v>
      </x:c>
      <x:c r="E111" s="164" t="str">
        <x:v>USA PCA SKIN: Weightless Protection Broad Spectrum SPF 45</x:v>
      </x:c>
      <x:c r="F111" s="164" t="str">
        <x:v>SKU Library</x:v>
      </x:c>
      <x:c r="G111" s="167" t="str">
        <x:v>2026-08-31</x:v>
      </x:c>
    </x:row>
    <x:row r="112" ht="18" customHeight="1">
      <x:c r="A112" s="163" t="str">
        <x:v>SRC-0111</x:v>
      </x:c>
      <x:c r="B112" s="164" t="str">
        <x:v>https://pcaskincanada.ca/products/by-skin-type/combination/pcap33-hydrating-serum</x:v>
      </x:c>
      <x:c r="C112" s="164" t="str">
        <x:v>Availability evidence</x:v>
      </x:c>
      <x:c r="D112" s="164" t="str">
        <x:v>Tier 2</x:v>
      </x:c>
      <x:c r="E112" s="164" t="str">
        <x:v>Market presence</x:v>
      </x:c>
      <x:c r="F112" s="164" t="str">
        <x:v>Brand Repository: CA PCA SKIN; SKU Library</x:v>
      </x:c>
      <x:c r="G112" s="167" t="str">
        <x:v>2026-08-31</x:v>
      </x:c>
    </x:row>
    <x:row r="113" ht="18" customHeight="1">
      <x:c r="A113" s="163" t="str">
        <x:v>SRC-0112</x:v>
      </x:c>
      <x:c r="B113" s="164" t="str">
        <x:v>https://shop.shoppersdrugmart.ca/colgate-slim-soft-advanced-tootbrush-ultra-soft-2/p/BB_058000140844?variantCode=058000140844</x:v>
      </x:c>
      <x:c r="C113" s="164" t="str">
        <x:v>Current retailer product page</x:v>
      </x:c>
      <x:c r="D113" s="164" t="str">
        <x:v>Tier 2 - retailer</x:v>
      </x:c>
      <x:c r="E113" s="164" t="str">
        <x:v>CA Colgate: Colgate Colgate Slim Soft Advanced Tootbrush, Ultra Soft - 2 Count</x:v>
      </x:c>
      <x:c r="F113" s="164" t="str">
        <x:v>SKU Library</x:v>
      </x:c>
      <x:c r="G113" s="167" t="str">
        <x:v>2026-08-31</x:v>
      </x:c>
    </x:row>
    <x:row r="114" ht="18" customHeight="1">
      <x:c r="A114" s="163" t="str">
        <x:v>SRC-0113</x:v>
      </x:c>
      <x:c r="B114" s="164" t="str">
        <x:v>https://us.filorga.com/products/age-purify-mask</x:v>
      </x:c>
      <x:c r="C114" s="164" t="str">
        <x:v>Availability evidence</x:v>
      </x:c>
      <x:c r="D114" s="164" t="str">
        <x:v>Tier 1</x:v>
      </x:c>
      <x:c r="E114" s="164" t="str">
        <x:v>Market presence</x:v>
      </x:c>
      <x:c r="F114" s="164" t="str">
        <x:v>Brand Repository: USA FILORGA; SKU Library</x:v>
      </x:c>
      <x:c r="G114" s="167" t="str">
        <x:v>2026-08-31</x:v>
      </x:c>
    </x:row>
    <x:row r="115" ht="18" customHeight="1">
      <x:c r="A115" s="163" t="str">
        <x:v>SRC-0114</x:v>
      </x:c>
      <x:c r="B115" s="164" t="str">
        <x:v>https://us.filorga.com/products/hydra-day-night-duo</x:v>
      </x:c>
      <x:c r="C115" s="164" t="str">
        <x:v>Official product page</x:v>
      </x:c>
      <x:c r="D115" s="164" t="str">
        <x:v>Tier 1 - first party</x:v>
      </x:c>
      <x:c r="E115" s="164" t="str">
        <x:v>USA FILORGA: HYDRA DAY/NIGHT DUO SET</x:v>
      </x:c>
      <x:c r="F115" s="164" t="str">
        <x:v>SKU Library</x:v>
      </x:c>
      <x:c r="G115" s="167" t="str">
        <x:v>2026-08-31</x:v>
      </x:c>
    </x:row>
    <x:row r="116" ht="18" customHeight="1">
      <x:c r="A116" s="163" t="str">
        <x:v>SRC-0115</x:v>
      </x:c>
      <x:c r="B116" s="164" t="str">
        <x:v>https://us.filorga.com/products/hydra-hyal-cream</x:v>
      </x:c>
      <x:c r="C116" s="164" t="str">
        <x:v>Official product page</x:v>
      </x:c>
      <x:c r="D116" s="164" t="str">
        <x:v>Tier 1 - first party</x:v>
      </x:c>
      <x:c r="E116" s="164" t="str">
        <x:v>USA FILORGA: HYDRA-HYAL CREAM</x:v>
      </x:c>
      <x:c r="F116" s="164" t="str">
        <x:v>SKU Library</x:v>
      </x:c>
      <x:c r="G116" s="167" t="str">
        <x:v>2026-08-31</x:v>
      </x:c>
    </x:row>
    <x:row r="117" ht="18" customHeight="1">
      <x:c r="A117" s="163" t="str">
        <x:v>SRC-0116</x:v>
      </x:c>
      <x:c r="B117" s="164" t="str">
        <x:v>https://us.filorga.com/products/hydra-hyal-cream-gel</x:v>
      </x:c>
      <x:c r="C117" s="164" t="str">
        <x:v>Official product page</x:v>
      </x:c>
      <x:c r="D117" s="164" t="str">
        <x:v>Tier 1 - first party</x:v>
      </x:c>
      <x:c r="E117" s="164" t="str">
        <x:v>USA FILORGA: HYDRA-HYAL CREAM-GEL</x:v>
      </x:c>
      <x:c r="F117" s="164" t="str">
        <x:v>SKU Library</x:v>
      </x:c>
      <x:c r="G117" s="167" t="str">
        <x:v>2026-08-31</x:v>
      </x:c>
    </x:row>
    <x:row r="118" ht="18" customHeight="1">
      <x:c r="A118" s="163" t="str">
        <x:v>SRC-0117</x:v>
      </x:c>
      <x:c r="B118" s="164" t="str">
        <x:v>https://wedoskin.ca/products/eltamd-uv-clear-spf46-broad-spectrum</x:v>
      </x:c>
      <x:c r="C118" s="164" t="str">
        <x:v>Current retailer product page</x:v>
      </x:c>
      <x:c r="D118" s="164" t="str">
        <x:v>Tier 2 - retailer</x:v>
      </x:c>
      <x:c r="E118" s="164" t="str">
        <x:v>CA EltaMD: EltaMD UV Clear SPF 46 Broad Spectrum</x:v>
      </x:c>
      <x:c r="F118" s="164" t="str">
        <x:v>SKU Library</x:v>
      </x:c>
      <x:c r="G118" s="167" t="str">
        <x:v>2026-08-31</x:v>
      </x:c>
    </x:row>
    <x:row r="119" ht="18" customHeight="1">
      <x:c r="A119" s="163" t="str">
        <x:v>SRC-0118</x:v>
      </x:c>
      <x:c r="B119" s="164" t="str">
        <x:v>https://well.ca/fr/produits/palmolive-essential-clean-liquid_320085.html</x:v>
      </x:c>
      <x:c r="C119" s="164" t="str">
        <x:v>Availability evidence</x:v>
      </x:c>
      <x:c r="D119" s="164" t="str">
        <x:v>Tier 1</x:v>
      </x:c>
      <x:c r="E119" s="164" t="str">
        <x:v>Market presence</x:v>
      </x:c>
      <x:c r="F119" s="164" t="str">
        <x:v>Brand Repository: CA Palmolive; SKU Library</x:v>
      </x:c>
      <x:c r="G119" s="167" t="str">
        <x:v>2026-08-31</x:v>
      </x:c>
    </x:row>
    <x:row r="120" ht="18" customHeight="1">
      <x:c r="A120" s="163" t="str">
        <x:v>SRC-0119</x:v>
      </x:c>
      <x:c r="B120" s="164" t="str">
        <x:v>https://well.ca/products/palmolive-essential-clean-liquid_320084.html</x:v>
      </x:c>
      <x:c r="C120" s="164" t="str">
        <x:v>Current retailer product page</x:v>
      </x:c>
      <x:c r="D120" s="164" t="str">
        <x:v>Tier 2 - retailer</x:v>
      </x:c>
      <x:c r="E120" s="164" t="str">
        <x:v>CA Palmolive: Buy Palmolive Essential Clean Liquid Dish Soap Lavender at Well.ca | Free Shipping $35+ in Canada</x:v>
      </x:c>
      <x:c r="F120" s="164" t="str">
        <x:v>SKU Library</x:v>
      </x:c>
      <x:c r="G120" s="167" t="str">
        <x:v>2026-08-31</x:v>
      </x:c>
    </x:row>
    <x:row r="121" ht="18" customHeight="1">
      <x:c r="A121" s="163" t="str">
        <x:v>SRC-0120</x:v>
      </x:c>
      <x:c r="B121" s="164" t="str">
        <x:v>https://world.openbeautyfacts.org/product/0005800014076/sensitive-pro-relief-colgate</x:v>
      </x:c>
      <x:c r="C121" s="164" t="str">
        <x:v>Open Beauty Facts</x:v>
      </x:c>
      <x:c r="D121" s="164" t="str">
        <x:v>Secondary crowdsourced registry</x:v>
      </x:c>
      <x:c r="E121" s="164" t="str">
        <x:v>CA Colgate: Sensitive pro-relief</x:v>
      </x:c>
      <x:c r="F121" s="164" t="str">
        <x:v>SKU Library</x:v>
      </x:c>
      <x:c r="G121" s="167" t="str">
        <x:v>2026-08-31</x:v>
      </x:c>
    </x:row>
    <x:row r="122" ht="18" customHeight="1">
      <x:c r="A122" s="163" t="str">
        <x:v>SRC-0121</x:v>
      </x:c>
      <x:c r="B122" s="164" t="str">
        <x:v>https://world.openbeautyfacts.org/product/0022200941525/regular-speed-stick</x:v>
      </x:c>
      <x:c r="C122" s="164" t="str">
        <x:v>Open Beauty Facts</x:v>
      </x:c>
      <x:c r="D122" s="164" t="str">
        <x:v>Secondary crowdsourced registry</x:v>
      </x:c>
      <x:c r="E122" s="164" t="str">
        <x:v>USA Speed Stick: Regular</x:v>
      </x:c>
      <x:c r="F122" s="164" t="str">
        <x:v>SKU Library</x:v>
      </x:c>
      <x:c r="G122" s="167" t="str">
        <x:v>2026-08-31</x:v>
      </x:c>
    </x:row>
    <x:row r="123" ht="18" customHeight="1">
      <x:c r="A123" s="163" t="str">
        <x:v>SRC-0122</x:v>
      </x:c>
      <x:c r="B123" s="164" t="str">
        <x:v>https://world.openbeautyfacts.org/product/0035000141170/irish-spring-aloe-mist</x:v>
      </x:c>
      <x:c r="C123" s="164" t="str">
        <x:v>Open Beauty Facts</x:v>
      </x:c>
      <x:c r="D123" s="164" t="str">
        <x:v>Secondary crowdsourced registry</x:v>
      </x:c>
      <x:c r="E123" s="164" t="str">
        <x:v>CA Irish Spring: Irish Spring Aloe Mist</x:v>
      </x:c>
      <x:c r="F123" s="164" t="str">
        <x:v>SKU Library</x:v>
      </x:c>
      <x:c r="G123" s="167" t="str">
        <x:v>2026-08-31</x:v>
      </x:c>
    </x:row>
    <x:row r="124" ht="18" customHeight="1">
      <x:c r="A124" s="163" t="str">
        <x:v>SRC-0123</x:v>
      </x:c>
      <x:c r="B124" s="164" t="str">
        <x:v>https://world.openbeautyfacts.org/product/0035000269218/deep-action-scrub-men-s-exfoliating-face-body-wash-irish-spring</x:v>
      </x:c>
      <x:c r="C124" s="164" t="str">
        <x:v>Open Beauty Facts</x:v>
      </x:c>
      <x:c r="D124" s="164" t="str">
        <x:v>Secondary crowdsourced registry</x:v>
      </x:c>
      <x:c r="E124" s="164" t="str">
        <x:v>CA Irish Spring: Deep Action Scrub Men's Exfoliating Face &amp; Body Wash</x:v>
      </x:c>
      <x:c r="F124" s="164" t="str">
        <x:v>SKU Library</x:v>
      </x:c>
      <x:c r="G124" s="167" t="str">
        <x:v>2026-08-31</x:v>
      </x:c>
    </x:row>
    <x:row r="125" ht="18" customHeight="1">
      <x:c r="A125" s="163" t="str">
        <x:v>SRC-0124</x:v>
      </x:c>
      <x:c r="B125" s="164" t="str">
        <x:v>https://world.openbeautyfacts.org/product/0035000444332/colgate</x:v>
      </x:c>
      <x:c r="C125" s="164" t="str">
        <x:v>Open Beauty Facts</x:v>
      </x:c>
      <x:c r="D125" s="164" t="str">
        <x:v>Secondary crowdsourced registry</x:v>
      </x:c>
      <x:c r="E125" s="164" t="str">
        <x:v>USA Colgate: (unnamed registry item)</x:v>
      </x:c>
      <x:c r="F125" s="164" t="str">
        <x:v>SKU Library</x:v>
      </x:c>
      <x:c r="G125" s="167" t="str">
        <x:v>2026-08-31</x:v>
      </x:c>
    </x:row>
    <x:row r="126" ht="18" customHeight="1">
      <x:c r="A126" s="163" t="str">
        <x:v>SRC-0125</x:v>
      </x:c>
      <x:c r="B126" s="164" t="str">
        <x:v>https://world.openbeautyfacts.org/product/0035000444349/baking-soda-peroxide-whitening-colgate</x:v>
      </x:c>
      <x:c r="C126" s="164" t="str">
        <x:v>Open Beauty Facts</x:v>
      </x:c>
      <x:c r="D126" s="164" t="str">
        <x:v>Secondary crowdsourced registry</x:v>
      </x:c>
      <x:c r="E126" s="164" t="str">
        <x:v>USA Colgate: Baking soda &amp; peroxide whitening</x:v>
      </x:c>
      <x:c r="F126" s="164" t="str">
        <x:v>SKU Library</x:v>
      </x:c>
      <x:c r="G126" s="167" t="str">
        <x:v>2026-08-31</x:v>
      </x:c>
    </x:row>
    <x:row r="127" ht="18" customHeight="1">
      <x:c r="A127" s="163" t="str">
        <x:v>SRC-0126</x:v>
      </x:c>
      <x:c r="B127" s="164" t="str">
        <x:v>https://world.openbeautyfacts.org/product/0035000444424/triple-action-colgate</x:v>
      </x:c>
      <x:c r="C127" s="164" t="str">
        <x:v>Open Beauty Facts</x:v>
      </x:c>
      <x:c r="D127" s="164" t="str">
        <x:v>Secondary crowdsourced registry</x:v>
      </x:c>
      <x:c r="E127" s="164" t="str">
        <x:v>USA Colgate: Triple action</x:v>
      </x:c>
      <x:c r="F127" s="164" t="str">
        <x:v>SKU Library</x:v>
      </x:c>
      <x:c r="G127" s="167" t="str">
        <x:v>2026-08-31</x:v>
      </x:c>
    </x:row>
    <x:row r="128" ht="18" customHeight="1">
      <x:c r="A128" s="163" t="str">
        <x:v>SRC-0127</x:v>
      </x:c>
      <x:c r="B128" s="164" t="str">
        <x:v>https://world.openbeautyfacts.org/product/0035000450692/palmolive</x:v>
      </x:c>
      <x:c r="C128" s="164" t="str">
        <x:v>Open Beauty Facts</x:v>
      </x:c>
      <x:c r="D128" s="164" t="str">
        <x:v>Secondary crowdsourced registry</x:v>
      </x:c>
      <x:c r="E128" s="164" t="str">
        <x:v>CA Palmolive: (unnamed registry item)</x:v>
      </x:c>
      <x:c r="F128" s="164" t="str">
        <x:v>SKU Library</x:v>
      </x:c>
      <x:c r="G128" s="167" t="str">
        <x:v>2026-08-31</x:v>
      </x:c>
    </x:row>
    <x:row r="129" ht="18" customHeight="1">
      <x:c r="A129" s="163" t="str">
        <x:v>SRC-0128</x:v>
      </x:c>
      <x:c r="B129" s="164" t="str">
        <x:v>https://world.openbeautyfacts.org/product/0035000459862/total-clean-mint-colgate</x:v>
      </x:c>
      <x:c r="C129" s="164" t="str">
        <x:v>Open Beauty Facts</x:v>
      </x:c>
      <x:c r="D129" s="164" t="str">
        <x:v>Secondary crowdsourced registry</x:v>
      </x:c>
      <x:c r="E129" s="164" t="str">
        <x:v>USA Colgate: Total Clean Mint</x:v>
      </x:c>
      <x:c r="F129" s="164" t="str">
        <x:v>SKU Library</x:v>
      </x:c>
      <x:c r="G129" s="167" t="str">
        <x:v>2026-08-31</x:v>
      </x:c>
    </x:row>
    <x:row r="130" ht="18" customHeight="1">
      <x:c r="A130" s="163" t="str">
        <x:v>SRC-0129</x:v>
      </x:c>
      <x:c r="B130" s="164" t="str">
        <x:v>https://world.openbeautyfacts.org/product/0035000510853/toothpaste-colgate</x:v>
      </x:c>
      <x:c r="C130" s="164" t="str">
        <x:v>Open Beauty Facts</x:v>
      </x:c>
      <x:c r="D130" s="164" t="str">
        <x:v>Secondary crowdsourced registry</x:v>
      </x:c>
      <x:c r="E130" s="164" t="str">
        <x:v>USA Colgate: Toothpaste</x:v>
      </x:c>
      <x:c r="F130" s="164" t="str">
        <x:v>SKU Library</x:v>
      </x:c>
      <x:c r="G130" s="167" t="str">
        <x:v>2026-08-31</x:v>
      </x:c>
    </x:row>
    <x:row r="131" ht="18" customHeight="1">
      <x:c r="A131" s="163" t="str">
        <x:v>SRC-0130</x:v>
      </x:c>
      <x:c r="B131" s="164" t="str">
        <x:v>https://world.openbeautyfacts.org/product/0035000511126/triple-action-colgate</x:v>
      </x:c>
      <x:c r="C131" s="164" t="str">
        <x:v>Open Beauty Facts</x:v>
      </x:c>
      <x:c r="D131" s="164" t="str">
        <x:v>Secondary crowdsourced registry</x:v>
      </x:c>
      <x:c r="E131" s="164" t="str">
        <x:v>USA Colgate: Triple Action</x:v>
      </x:c>
      <x:c r="F131" s="164" t="str">
        <x:v>SKU Library</x:v>
      </x:c>
      <x:c r="G131" s="167" t="str">
        <x:v>2026-08-31</x:v>
      </x:c>
    </x:row>
    <x:row r="132" ht="18" customHeight="1">
      <x:c r="A132" s="163" t="str">
        <x:v>SRC-0131</x:v>
      </x:c>
      <x:c r="B132" s="164" t="str">
        <x:v>https://world.openbeautyfacts.org/product/0035000521019/sensitive-complete-protection-colgate</x:v>
      </x:c>
      <x:c r="C132" s="164" t="str">
        <x:v>Open Beauty Facts</x:v>
      </x:c>
      <x:c r="D132" s="164" t="str">
        <x:v>Secondary crowdsourced registry</x:v>
      </x:c>
      <x:c r="E132" s="164" t="str">
        <x:v>USA Colgate: Sensitive Complete Protection</x:v>
      </x:c>
      <x:c r="F132" s="164" t="str">
        <x:v>SKU Library</x:v>
      </x:c>
      <x:c r="G132" s="167" t="str">
        <x:v>2026-08-31</x:v>
      </x:c>
    </x:row>
    <x:row r="133" ht="18" customHeight="1">
      <x:c r="A133" s="163" t="str">
        <x:v>SRC-0132</x:v>
      </x:c>
      <x:c r="B133" s="164" t="str">
        <x:v>https://world.openbeautyfacts.org/product/0035000525031/kids-cavity-protection-bubble-fruit-colgate</x:v>
      </x:c>
      <x:c r="C133" s="164" t="str">
        <x:v>Open Beauty Facts</x:v>
      </x:c>
      <x:c r="D133" s="164" t="str">
        <x:v>Secondary crowdsourced registry</x:v>
      </x:c>
      <x:c r="E133" s="164" t="str">
        <x:v>USA Colgate: Kids cavity protection bubble fruit</x:v>
      </x:c>
      <x:c r="F133" s="164" t="str">
        <x:v>SKU Library</x:v>
      </x:c>
      <x:c r="G133" s="167" t="str">
        <x:v>2026-08-31</x:v>
      </x:c>
    </x:row>
    <x:row r="134" ht="18" customHeight="1">
      <x:c r="A134" s="163" t="str">
        <x:v>SRC-0133</x:v>
      </x:c>
      <x:c r="B134" s="164" t="str">
        <x:v>https://world.openbeautyfacts.org/product/0035000970466/clear-gel-zero-anticavity-flouride-toothpaste-colgate</x:v>
      </x:c>
      <x:c r="C134" s="164" t="str">
        <x:v>Open Beauty Facts</x:v>
      </x:c>
      <x:c r="D134" s="164" t="str">
        <x:v>Secondary crowdsourced registry</x:v>
      </x:c>
      <x:c r="E134" s="164" t="str">
        <x:v>CA Colgate: Clear Gel Zero Anticavity Flouride Toothpaste</x:v>
      </x:c>
      <x:c r="F134" s="164" t="str">
        <x:v>SKU Library</x:v>
      </x:c>
      <x:c r="G134" s="167" t="str">
        <x:v>2026-08-31</x:v>
      </x:c>
    </x:row>
    <x:row r="135" ht="18" customHeight="1">
      <x:c r="A135" s="163" t="str">
        <x:v>SRC-0134</x:v>
      </x:c>
      <x:c r="B135" s="164" t="str">
        <x:v>https://world.openbeautyfacts.org/product/0035000971234/kid-s-natural-silly-strawberry-fluoride-anticavity-toothpaste-colgate-palmolive</x:v>
      </x:c>
      <x:c r="C135" s="164" t="str">
        <x:v>Open Beauty Facts</x:v>
      </x:c>
      <x:c r="D135" s="164" t="str">
        <x:v>Secondary crowdsourced registry</x:v>
      </x:c>
      <x:c r="E135" s="164" t="str">
        <x:v>USA Tom's of Maine: Kid's Natural Silly Strawberry Fluoride Anticavity Toothpaste</x:v>
      </x:c>
      <x:c r="F135" s="164" t="str">
        <x:v>SKU Library</x:v>
      </x:c>
      <x:c r="G135" s="167" t="str">
        <x:v>2026-08-31</x:v>
      </x:c>
    </x:row>
    <x:row r="136" ht="18" customHeight="1">
      <x:c r="A136" s="163" t="str">
        <x:v>SRC-0135</x:v>
      </x:c>
      <x:c r="B136" s="164" t="str">
        <x:v>https://world.openbeautyfacts.org/product/0035000991911/toothpaste-colgate</x:v>
      </x:c>
      <x:c r="C136" s="164" t="str">
        <x:v>Open Beauty Facts</x:v>
      </x:c>
      <x:c r="D136" s="164" t="str">
        <x:v>Secondary crowdsourced registry</x:v>
      </x:c>
      <x:c r="E136" s="164" t="str">
        <x:v>USA Colgate: Toothpaste</x:v>
      </x:c>
      <x:c r="F136" s="164" t="str">
        <x:v>SKU Library</x:v>
      </x:c>
      <x:c r="G136" s="167" t="str">
        <x:v>2026-08-31</x:v>
      </x:c>
    </x:row>
    <x:row r="137" ht="18" customHeight="1">
      <x:c r="A137" s="163" t="str">
        <x:v>SRC-0136</x:v>
      </x:c>
      <x:c r="B137" s="164" t="str">
        <x:v>https://world.openbeautyfacts.org/product/0035000993618/active-scrub-irish-spring</x:v>
      </x:c>
      <x:c r="C137" s="164" t="str">
        <x:v>Open Beauty Facts</x:v>
      </x:c>
      <x:c r="D137" s="164" t="str">
        <x:v>Secondary crowdsourced registry</x:v>
      </x:c>
      <x:c r="E137" s="164" t="str">
        <x:v>USA Irish Spring: active scrub</x:v>
      </x:c>
      <x:c r="F137" s="164" t="str">
        <x:v>SKU Library</x:v>
      </x:c>
      <x:c r="G137" s="167" t="str">
        <x:v>2026-08-31</x:v>
      </x:c>
    </x:row>
    <x:row r="138" ht="18" customHeight="1">
      <x:c r="A138" s="163" t="str">
        <x:v>SRC-0137</x:v>
      </x:c>
      <x:c r="B138" s="164" t="str">
        <x:v>https://world.openbeautyfacts.org/product/0035000996312/speed-stick-zero-deodorant-for-men-fresh-woods</x:v>
      </x:c>
      <x:c r="C138" s="164" t="str">
        <x:v>Open Beauty Facts</x:v>
      </x:c>
      <x:c r="D138" s="164" t="str">
        <x:v>Secondary crowdsourced registry</x:v>
      </x:c>
      <x:c r="E138" s="164" t="str">
        <x:v>CA Speed Stick: Speed Stick Zero Deodorant for Men, Fresh Woods</x:v>
      </x:c>
      <x:c r="F138" s="164" t="str">
        <x:v>SKU Library</x:v>
      </x:c>
      <x:c r="G138" s="167" t="str">
        <x:v>2026-08-31</x:v>
      </x:c>
    </x:row>
    <x:row r="139" ht="18" customHeight="1">
      <x:c r="A139" s="163" t="str">
        <x:v>SRC-0138</x:v>
      </x:c>
      <x:c r="B139" s="164" t="str">
        <x:v>https://world.openbeautyfacts.org/product/0035000996626/aloe-mist-irish-spring</x:v>
      </x:c>
      <x:c r="C139" s="164" t="str">
        <x:v>Open Beauty Facts</x:v>
      </x:c>
      <x:c r="D139" s="164" t="str">
        <x:v>Secondary crowdsourced registry</x:v>
      </x:c>
      <x:c r="E139" s="164" t="str">
        <x:v>USA Irish Spring: aloe mist</x:v>
      </x:c>
      <x:c r="F139" s="164" t="str">
        <x:v>SKU Library</x:v>
      </x:c>
      <x:c r="G139" s="167" t="str">
        <x:v>2026-08-31</x:v>
      </x:c>
    </x:row>
    <x:row r="140" ht="18" customHeight="1">
      <x:c r="A140" s="163" t="str">
        <x:v>SRC-0139</x:v>
      </x:c>
      <x:c r="B140" s="164" t="str">
        <x:v>https://world.openbeautyfacts.org/product/0035000996749/original-body-wash-irish-spring</x:v>
      </x:c>
      <x:c r="C140" s="164" t="str">
        <x:v>Open Beauty Facts</x:v>
      </x:c>
      <x:c r="D140" s="164" t="str">
        <x:v>Secondary crowdsourced registry</x:v>
      </x:c>
      <x:c r="E140" s="164" t="str">
        <x:v>CA Irish Spring: Original Body Wash</x:v>
      </x:c>
      <x:c r="F140" s="164" t="str">
        <x:v>SKU Library</x:v>
      </x:c>
      <x:c r="G140" s="167" t="str">
        <x:v>2026-08-31</x:v>
      </x:c>
    </x:row>
    <x:row r="141" ht="18" customHeight="1">
      <x:c r="A141" s="163" t="str">
        <x:v>SRC-0140</x:v>
      </x:c>
      <x:c r="B141" s="164" t="str">
        <x:v>https://world.openbeautyfacts.org/product/0035110019000/aloe-vera-fresh-scent-moisturizing-hand-soap-softsoap</x:v>
      </x:c>
      <x:c r="C141" s="164" t="str">
        <x:v>Open Beauty Facts</x:v>
      </x:c>
      <x:c r="D141" s="164" t="str">
        <x:v>Secondary crowdsourced registry</x:v>
      </x:c>
      <x:c r="E141" s="164" t="str">
        <x:v>USA Softsoap: Aloe Vera Fresh Scent Moisturizing Hand Soap</x:v>
      </x:c>
      <x:c r="F141" s="164" t="str">
        <x:v>SKU Library</x:v>
      </x:c>
      <x:c r="G141" s="167" t="str">
        <x:v>2026-08-31</x:v>
      </x:c>
    </x:row>
    <x:row r="142" ht="18" customHeight="1">
      <x:c r="A142" s="163" t="str">
        <x:v>SRC-0141</x:v>
      </x:c>
      <x:c r="B142" s="164" t="str">
        <x:v>https://world.openbeautyfacts.org/product/0038341105955/prevident-colgate</x:v>
      </x:c>
      <x:c r="C142" s="164" t="str">
        <x:v>Open Beauty Facts</x:v>
      </x:c>
      <x:c r="D142" s="164" t="str">
        <x:v>Secondary crowdsourced registry</x:v>
      </x:c>
      <x:c r="E142" s="164" t="str">
        <x:v>CA Colgate: Prevident</x:v>
      </x:c>
      <x:c r="F142" s="164" t="str">
        <x:v>SKU Library</x:v>
      </x:c>
      <x:c r="G142" s="167" t="str">
        <x:v>2026-08-31</x:v>
      </x:c>
    </x:row>
    <x:row r="143" ht="18" customHeight="1">
      <x:c r="A143" s="163" t="str">
        <x:v>SRC-0142</x:v>
      </x:c>
      <x:c r="B143" s="164" t="str">
        <x:v>https://world.openbeautyfacts.org/product/0038341106365/colgate-peroxide</x:v>
      </x:c>
      <x:c r="C143" s="164" t="str">
        <x:v>Open Beauty Facts</x:v>
      </x:c>
      <x:c r="D143" s="164" t="str">
        <x:v>Secondary crowdsourced registry</x:v>
      </x:c>
      <x:c r="E143" s="164" t="str">
        <x:v>USA Colgate: Colgate  peroxide</x:v>
      </x:c>
      <x:c r="F143" s="164" t="str">
        <x:v>SKU Library</x:v>
      </x:c>
      <x:c r="G143" s="167" t="str">
        <x:v>2026-08-31</x:v>
      </x:c>
    </x:row>
    <x:row r="144" ht="18" customHeight="1">
      <x:c r="A144" s="163" t="str">
        <x:v>SRC-0143</x:v>
      </x:c>
      <x:c r="B144" s="164" t="str">
        <x:v>https://world.openbeautyfacts.org/product/0058000140271/hand-soap-palmolive</x:v>
      </x:c>
      <x:c r="C144" s="164" t="str">
        <x:v>Open Beauty Facts</x:v>
      </x:c>
      <x:c r="D144" s="164" t="str">
        <x:v>Secondary crowdsourced registry</x:v>
      </x:c>
      <x:c r="E144" s="164" t="str">
        <x:v>CA Palmolive: Hand soap</x:v>
      </x:c>
      <x:c r="F144" s="164" t="str">
        <x:v>SKU Library</x:v>
      </x:c>
      <x:c r="G144" s="167" t="str">
        <x:v>2026-08-31</x:v>
      </x:c>
    </x:row>
    <x:row r="145" ht="18" customHeight="1">
      <x:c r="A145" s="163" t="str">
        <x:v>SRC-0144</x:v>
      </x:c>
      <x:c r="B145" s="164" t="str">
        <x:v>https://world.openbeautyfacts.org/product/0058000308732/aloe-vera-hand-soap-soft-soap</x:v>
      </x:c>
      <x:c r="C145" s="164" t="str">
        <x:v>Open Beauty Facts</x:v>
      </x:c>
      <x:c r="D145" s="164" t="str">
        <x:v>Secondary crowdsourced registry</x:v>
      </x:c>
      <x:c r="E145" s="164" t="str">
        <x:v>CA Softsoap: Aloe Vera Hand Soap</x:v>
      </x:c>
      <x:c r="F145" s="164" t="str">
        <x:v>SKU Library</x:v>
      </x:c>
      <x:c r="G145" s="167" t="str">
        <x:v>2026-08-31</x:v>
      </x:c>
    </x:row>
    <x:row r="146" ht="18" customHeight="1">
      <x:c r="A146" s="163" t="str">
        <x:v>SRC-0145</x:v>
      </x:c>
      <x:c r="B146" s="164" t="str">
        <x:v>https://world.openbeautyfacts.org/product/0058000310483/toothpaste-cavity-protection-colgate</x:v>
      </x:c>
      <x:c r="C146" s="164" t="str">
        <x:v>Open Beauty Facts</x:v>
      </x:c>
      <x:c r="D146" s="164" t="str">
        <x:v>Secondary crowdsourced registry</x:v>
      </x:c>
      <x:c r="E146" s="164" t="str">
        <x:v>CA Colgate: Toothpaste Cavity Protection</x:v>
      </x:c>
      <x:c r="F146" s="164" t="str">
        <x:v>SKU Library</x:v>
      </x:c>
      <x:c r="G146" s="167" t="str">
        <x:v>2026-08-31</x:v>
      </x:c>
    </x:row>
    <x:row r="147" ht="18" customHeight="1">
      <x:c r="A147" s="163" t="str">
        <x:v>SRC-0146</x:v>
      </x:c>
      <x:c r="B147" s="164" t="str">
        <x:v>https://world.openbeautyfacts.org/product/0058000311756/orchid-petals-mint-water-liquid-hand-soap-colgate-pamolive</x:v>
      </x:c>
      <x:c r="C147" s="164" t="str">
        <x:v>Open Beauty Facts</x:v>
      </x:c>
      <x:c r="D147" s="164" t="str">
        <x:v>Secondary crowdsourced registry</x:v>
      </x:c>
      <x:c r="E147" s="164" t="str">
        <x:v>CA Softsoap: Orchid Petals &amp; Mint Water Liquid Hand Soap</x:v>
      </x:c>
      <x:c r="F147" s="164" t="str">
        <x:v>SKU Library</x:v>
      </x:c>
      <x:c r="G147" s="167" t="str">
        <x:v>2026-08-31</x:v>
      </x:c>
    </x:row>
    <x:row r="148" ht="18" customHeight="1">
      <x:c r="A148" s="163" t="str">
        <x:v>SRC-0147</x:v>
      </x:c>
      <x:c r="B148" s="164" t="str">
        <x:v>https://world.openbeautyfacts.org/product/0058000313194/regular-cavity-protection-flouride-toothpaste-colgate</x:v>
      </x:c>
      <x:c r="C148" s="164" t="str">
        <x:v>Open Beauty Facts</x:v>
      </x:c>
      <x:c r="D148" s="164" t="str">
        <x:v>Secondary crowdsourced registry</x:v>
      </x:c>
      <x:c r="E148" s="164" t="str">
        <x:v>CA Colgate: Regular Cavity Protection Flouride Toothpaste</x:v>
      </x:c>
      <x:c r="F148" s="164" t="str">
        <x:v>SKU Library</x:v>
      </x:c>
      <x:c r="G148" s="167" t="str">
        <x:v>2026-08-31</x:v>
      </x:c>
    </x:row>
    <x:row r="149" ht="18" customHeight="1">
      <x:c r="A149" s="163" t="str">
        <x:v>SRC-0148</x:v>
      </x:c>
      <x:c r="B149" s="164" t="str">
        <x:v>https://world.openbeautyfacts.org/product/0058000313262/colgate-cavity-protection-regular</x:v>
      </x:c>
      <x:c r="C149" s="164" t="str">
        <x:v>Open Beauty Facts</x:v>
      </x:c>
      <x:c r="D149" s="164" t="str">
        <x:v>Secondary crowdsourced registry</x:v>
      </x:c>
      <x:c r="E149" s="164" t="str">
        <x:v>CA Colgate: (unnamed registry item)</x:v>
      </x:c>
      <x:c r="F149" s="164" t="str">
        <x:v>SKU Library</x:v>
      </x:c>
      <x:c r="G149" s="167" t="str">
        <x:v>2026-08-31</x:v>
      </x:c>
    </x:row>
    <x:row r="150" ht="18" customHeight="1">
      <x:c r="A150" s="163" t="str">
        <x:v>SRC-0149</x:v>
      </x:c>
      <x:c r="B150" s="164" t="str">
        <x:v>https://world.openbeautyfacts.org/product/0058000313293/winterfresh-cavity-protection-flouride-toothpaste-colgate</x:v>
      </x:c>
      <x:c r="C150" s="164" t="str">
        <x:v>Open Beauty Facts</x:v>
      </x:c>
      <x:c r="D150" s="164" t="str">
        <x:v>Secondary crowdsourced registry</x:v>
      </x:c>
      <x:c r="E150" s="164" t="str">
        <x:v>CA Colgate: Winterfresh Cavity Protection Flouride Toothpaste</x:v>
      </x:c>
      <x:c r="F150" s="164" t="str">
        <x:v>SKU Library</x:v>
      </x:c>
      <x:c r="G150" s="167" t="str">
        <x:v>2026-08-31</x:v>
      </x:c>
    </x:row>
    <x:row r="151" ht="18" customHeight="1">
      <x:c r="A151" s="163" t="str">
        <x:v>SRC-0150</x:v>
      </x:c>
      <x:c r="B151" s="164" t="str">
        <x:v>https://world.openbeautyfacts.org/product/0074182260125/liquid-hand-soap-pump-soothing-aloe-vera-softsoap</x:v>
      </x:c>
      <x:c r="C151" s="164" t="str">
        <x:v>Open Beauty Facts</x:v>
      </x:c>
      <x:c r="D151" s="164" t="str">
        <x:v>Secondary crowdsourced registry</x:v>
      </x:c>
      <x:c r="E151" s="164" t="str">
        <x:v>USA Softsoap: Liquid Hand Soap Pump, Soothing Aloe Vera</x:v>
      </x:c>
      <x:c r="F151" s="164" t="str">
        <x:v>SKU Library</x:v>
      </x:c>
      <x:c r="G151" s="167" t="str">
        <x:v>2026-08-31</x:v>
      </x:c>
    </x:row>
    <x:row r="152" ht="18" customHeight="1">
      <x:c r="A152" s="163" t="str">
        <x:v>SRC-0151</x:v>
      </x:c>
      <x:c r="B152" s="164" t="str">
        <x:v>https://world.openbeautyfacts.org/product/0074182268008/liquid-hand-soap-pump-aquarium-series-softsoap</x:v>
      </x:c>
      <x:c r="C152" s="164" t="str">
        <x:v>Open Beauty Facts</x:v>
      </x:c>
      <x:c r="D152" s="164" t="str">
        <x:v>Secondary crowdsourced registry</x:v>
      </x:c>
      <x:c r="E152" s="164" t="str">
        <x:v>USA Softsoap: Liquid Hand Soap Pump, Aquarium Series</x:v>
      </x:c>
      <x:c r="F152" s="164" t="str">
        <x:v>SKU Library</x:v>
      </x:c>
      <x:c r="G152" s="167" t="str">
        <x:v>2026-08-31</x:v>
      </x:c>
    </x:row>
    <x:row r="153" ht="18" customHeight="1">
      <x:c r="A153" s="163" t="str">
        <x:v>SRC-0152</x:v>
      </x:c>
      <x:c r="B153" s="164" t="str">
        <x:v>https://world.openbeautyfacts.org/product/0074182270933/liquid-hand-soap-pump-fresh-breeze-softsoap</x:v>
      </x:c>
      <x:c r="C153" s="164" t="str">
        <x:v>Open Beauty Facts</x:v>
      </x:c>
      <x:c r="D153" s="164" t="str">
        <x:v>Secondary crowdsourced registry</x:v>
      </x:c>
      <x:c r="E153" s="164" t="str">
        <x:v>USA Softsoap: Liquid Hand Soap Pump, Fresh Breeze</x:v>
      </x:c>
      <x:c r="F153" s="164" t="str">
        <x:v>SKU Library</x:v>
      </x:c>
      <x:c r="G153" s="167" t="str">
        <x:v>2026-08-31</x:v>
      </x:c>
    </x:row>
    <x:row r="154" ht="18" customHeight="1">
      <x:c r="A154" s="163" t="str">
        <x:v>SRC-0153</x:v>
      </x:c>
      <x:c r="B154" s="164" t="str">
        <x:v>https://world.openbeautyfacts.org/product/0074182290948/liquid-hand-soap-pump-milk-golden-honey-softsoap</x:v>
      </x:c>
      <x:c r="C154" s="164" t="str">
        <x:v>Open Beauty Facts</x:v>
      </x:c>
      <x:c r="D154" s="164" t="str">
        <x:v>Secondary crowdsourced registry</x:v>
      </x:c>
      <x:c r="E154" s="164" t="str">
        <x:v>USA Softsoap: Liquid Hand Soap Pump, Milk &amp; Golden Honey</x:v>
      </x:c>
      <x:c r="F154" s="164" t="str">
        <x:v>SKU Library</x:v>
      </x:c>
      <x:c r="G154" s="167" t="str">
        <x:v>2026-08-31</x:v>
      </x:c>
    </x:row>
    <x:row r="155" ht="18" customHeight="1">
      <x:c r="A155" s="163" t="str">
        <x:v>SRC-0154</x:v>
      </x:c>
      <x:c r="B155" s="164" t="str">
        <x:v>https://world.openbeautyfacts.org/product/0074182292171/lavender-chamomile-hand-soap-softsoap</x:v>
      </x:c>
      <x:c r="C155" s="164" t="str">
        <x:v>Open Beauty Facts</x:v>
      </x:c>
      <x:c r="D155" s="164" t="str">
        <x:v>Secondary crowdsourced registry</x:v>
      </x:c>
      <x:c r="E155" s="164" t="str">
        <x:v>USA Softsoap: Lavender &amp; Chamomile Hand Soap</x:v>
      </x:c>
      <x:c r="F155" s="164" t="str">
        <x:v>SKU Library</x:v>
      </x:c>
      <x:c r="G155" s="167" t="str">
        <x:v>2026-08-31</x:v>
      </x:c>
    </x:row>
    <x:row r="156" ht="18" customHeight="1">
      <x:c r="A156" s="163" t="str">
        <x:v>SRC-0155</x:v>
      </x:c>
      <x:c r="B156" s="164" t="str">
        <x:v>https://world.openbeautyfacts.org/product/0074182445768/lavender-chamomile-hand-soap-softsoap</x:v>
      </x:c>
      <x:c r="C156" s="164" t="str">
        <x:v>Open Beauty Facts</x:v>
      </x:c>
      <x:c r="D156" s="164" t="str">
        <x:v>Secondary crowdsourced registry</x:v>
      </x:c>
      <x:c r="E156" s="164" t="str">
        <x:v>USA Softsoap: Lavender &amp; Chamomile Hand Soap</x:v>
      </x:c>
      <x:c r="F156" s="164" t="str">
        <x:v>SKU Library</x:v>
      </x:c>
      <x:c r="G156" s="167" t="str">
        <x:v>2026-08-31</x:v>
      </x:c>
    </x:row>
    <x:row r="157" ht="18" customHeight="1">
      <x:c r="A157" s="163" t="str">
        <x:v>SRC-0156</x:v>
      </x:c>
      <x:c r="B157" s="164" t="str">
        <x:v>https://world.openbeautyfacts.org/product/0074182445782/coconut-warm-ginger-hand-soap-softsoap</x:v>
      </x:c>
      <x:c r="C157" s="164" t="str">
        <x:v>Open Beauty Facts</x:v>
      </x:c>
      <x:c r="D157" s="164" t="str">
        <x:v>Secondary crowdsourced registry</x:v>
      </x:c>
      <x:c r="E157" s="164" t="str">
        <x:v>USA Softsoap: Coconut &amp; Warm Ginger Hand Soap</x:v>
      </x:c>
      <x:c r="F157" s="164" t="str">
        <x:v>SKU Library</x:v>
      </x:c>
      <x:c r="G157" s="167" t="str">
        <x:v>2026-08-31</x:v>
      </x:c>
    </x:row>
    <x:row r="158" ht="18" customHeight="1">
      <x:c r="A158" s="163" t="str">
        <x:v>SRC-0157</x:v>
      </x:c>
      <x:c r="B158" s="164" t="str">
        <x:v>https://world.openbeautyfacts.org/product/0074182473389/coconut-shea-butter-softsoap</x:v>
      </x:c>
      <x:c r="C158" s="164" t="str">
        <x:v>Open Beauty Facts</x:v>
      </x:c>
      <x:c r="D158" s="164" t="str">
        <x:v>Secondary crowdsourced registry</x:v>
      </x:c>
      <x:c r="E158" s="164" t="str">
        <x:v>CA Softsoap: Coconut Shea Butter</x:v>
      </x:c>
      <x:c r="F158" s="164" t="str">
        <x:v>SKU Library</x:v>
      </x:c>
      <x:c r="G158" s="167" t="str">
        <x:v>2026-08-31</x:v>
      </x:c>
    </x:row>
    <x:row r="159" ht="18" customHeight="1">
      <x:c r="A159" s="163" t="str">
        <x:v>SRC-0158</x:v>
      </x:c>
      <x:c r="B159" s="164" t="str">
        <x:v>https://world.openbeautyfacts.org/product/0074182473396/shea-almond-oil-softsoap</x:v>
      </x:c>
      <x:c r="C159" s="164" t="str">
        <x:v>Open Beauty Facts</x:v>
      </x:c>
      <x:c r="D159" s="164" t="str">
        <x:v>Secondary crowdsourced registry</x:v>
      </x:c>
      <x:c r="E159" s="164" t="str">
        <x:v>CA Softsoap: Shea &amp; Almond Oil</x:v>
      </x:c>
      <x:c r="F159" s="164" t="str">
        <x:v>SKU Library</x:v>
      </x:c>
      <x:c r="G159" s="167" t="str">
        <x:v>2026-08-31</x:v>
      </x:c>
    </x:row>
    <x:row r="160" ht="18" customHeight="1">
      <x:c r="A160" s="163" t="str">
        <x:v>SRC-0159</x:v>
      </x:c>
      <x:c r="B160" s="164" t="str">
        <x:v>https://world.openbeautyfacts.org/product/0074182473501/shea-gentle-wash-softsoap</x:v>
      </x:c>
      <x:c r="C160" s="164" t="str">
        <x:v>Open Beauty Facts</x:v>
      </x:c>
      <x:c r="D160" s="164" t="str">
        <x:v>Secondary crowdsourced registry</x:v>
      </x:c>
      <x:c r="E160" s="164" t="str">
        <x:v>CA Softsoap: Shea Gentle Wash</x:v>
      </x:c>
      <x:c r="F160" s="164" t="str">
        <x:v>SKU Library</x:v>
      </x:c>
      <x:c r="G160" s="167" t="str">
        <x:v>2026-08-31</x:v>
      </x:c>
    </x:row>
    <x:row r="161" ht="18" customHeight="1">
      <x:c r="A161" s="163" t="str">
        <x:v>SRC-0160</x:v>
      </x:c>
      <x:c r="B161" s="164" t="str">
        <x:v>https://world.openbeautyfacts.org/product/0074182473518/body-wash-softsoap</x:v>
      </x:c>
      <x:c r="C161" s="164" t="str">
        <x:v>Open Beauty Facts</x:v>
      </x:c>
      <x:c r="D161" s="164" t="str">
        <x:v>Secondary crowdsourced registry</x:v>
      </x:c>
      <x:c r="E161" s="164" t="str">
        <x:v>CA Softsoap: body wash</x:v>
      </x:c>
      <x:c r="F161" s="164" t="str">
        <x:v>SKU Library</x:v>
      </x:c>
      <x:c r="G161" s="167" t="str">
        <x:v>2026-08-31</x:v>
      </x:c>
    </x:row>
    <x:row r="162" ht="18" customHeight="1">
      <x:c r="A162" s="163" t="str">
        <x:v>SRC-0161</x:v>
      </x:c>
      <x:c r="B162" s="164" t="str">
        <x:v>https://world.openbeautyfacts.org/product/0074182473679/coconut-gentle-wash-softsoap</x:v>
      </x:c>
      <x:c r="C162" s="164" t="str">
        <x:v>Open Beauty Facts</x:v>
      </x:c>
      <x:c r="D162" s="164" t="str">
        <x:v>Secondary crowdsourced registry</x:v>
      </x:c>
      <x:c r="E162" s="164" t="str">
        <x:v>CA Softsoap: Coconut Gentle Wash</x:v>
      </x:c>
      <x:c r="F162" s="164" t="str">
        <x:v>SKU Library</x:v>
      </x:c>
      <x:c r="G162" s="167" t="str">
        <x:v>2026-08-31</x:v>
      </x:c>
    </x:row>
    <x:row r="163" ht="18" customHeight="1">
      <x:c r="A163" s="163" t="str">
        <x:v>SRC-0162</x:v>
      </x:c>
      <x:c r="B163" s="164" t="str">
        <x:v>https://world.openbeautyfacts.org/product/0077326449783/tom-s-of-maine-toddler</x:v>
      </x:c>
      <x:c r="C163" s="164" t="str">
        <x:v>Open Beauty Facts</x:v>
      </x:c>
      <x:c r="D163" s="164" t="str">
        <x:v>Secondary crowdsourced registry</x:v>
      </x:c>
      <x:c r="E163" s="164" t="str">
        <x:v>CA Tom's of Maine: Tom's of Maine Toddler</x:v>
      </x:c>
      <x:c r="F163" s="164" t="str">
        <x:v>SKU Library</x:v>
      </x:c>
      <x:c r="G163" s="167" t="str">
        <x:v>2026-08-31</x:v>
      </x:c>
    </x:row>
    <x:row r="164" ht="18" customHeight="1">
      <x:c r="A164" s="163" t="str">
        <x:v>SRC-0163</x:v>
      </x:c>
      <x:c r="B164" s="164" t="str">
        <x:v>https://world.openbeautyfacts.org/product/0077326470176/whole-care-anticavity-toothpaste-tom-s-of-maine</x:v>
      </x:c>
      <x:c r="C164" s="164" t="str">
        <x:v>Open Beauty Facts</x:v>
      </x:c>
      <x:c r="D164" s="164" t="str">
        <x:v>Secondary crowdsourced registry</x:v>
      </x:c>
      <x:c r="E164" s="164" t="str">
        <x:v>USA Tom's of Maine: Whole Care Anticavity Toothpaste</x:v>
      </x:c>
      <x:c r="F164" s="164" t="str">
        <x:v>SKU Library</x:v>
      </x:c>
      <x:c r="G164" s="167" t="str">
        <x:v>2026-08-31</x:v>
      </x:c>
    </x:row>
    <x:row r="165" ht="18" customHeight="1">
      <x:c r="A165" s="163" t="str">
        <x:v>SRC-0164</x:v>
      </x:c>
      <x:c r="B165" s="164" t="str">
        <x:v>https://world.openbeautyfacts.org/product/0077326832608/natural-flouride-free-toothpaste-fresh-mint-tom-s-of-maine</x:v>
      </x:c>
      <x:c r="C165" s="164" t="str">
        <x:v>Open Beauty Facts</x:v>
      </x:c>
      <x:c r="D165" s="164" t="str">
        <x:v>Secondary crowdsourced registry</x:v>
      </x:c>
      <x:c r="E165" s="164" t="str">
        <x:v>USA Tom's of Maine: Natural Flouride-Free Toothpaste Fresh Mint</x:v>
      </x:c>
      <x:c r="F165" s="164" t="str">
        <x:v>SKU Library</x:v>
      </x:c>
      <x:c r="G165" s="167" t="str">
        <x:v>2026-08-31</x:v>
      </x:c>
    </x:row>
    <x:row r="166" ht="18" customHeight="1">
      <x:c r="A166" s="163" t="str">
        <x:v>SRC-0165</x:v>
      </x:c>
      <x:c r="B166" s="164" t="str">
        <x:v>https://world.openbeautyfacts.org/product/01571735/colgate</x:v>
      </x:c>
      <x:c r="C166" s="164" t="str">
        <x:v>Open Beauty Facts</x:v>
      </x:c>
      <x:c r="D166" s="164" t="str">
        <x:v>Secondary crowdsourced registry</x:v>
      </x:c>
      <x:c r="E166" s="164" t="str">
        <x:v>USA Colgate: (unnamed registry item)</x:v>
      </x:c>
      <x:c r="F166" s="164" t="str">
        <x:v>SKU Library</x:v>
      </x:c>
      <x:c r="G166" s="167" t="str">
        <x:v>2026-08-31</x:v>
      </x:c>
    </x:row>
    <x:row r="167" ht="18" customHeight="1">
      <x:c r="A167" s="163" t="str">
        <x:v>SRC-0166</x:v>
      </x:c>
      <x:c r="B167" s="164" t="str">
        <x:v>https://world.openbeautyfacts.org/product/05868005/lady-speed-stick</x:v>
      </x:c>
      <x:c r="C167" s="164" t="str">
        <x:v>Open Beauty Facts</x:v>
      </x:c>
      <x:c r="D167" s="164" t="str">
        <x:v>Secondary crowdsourced registry</x:v>
      </x:c>
      <x:c r="E167" s="164" t="str">
        <x:v>CA Lady Speed Stick: (unnamed registry item)</x:v>
      </x:c>
      <x:c r="F167" s="164" t="str">
        <x:v>SKU Library</x:v>
      </x:c>
      <x:c r="G167" s="167" t="str">
        <x:v>2026-08-31</x:v>
      </x:c>
    </x:row>
    <x:row r="168" ht="18" customHeight="1">
      <x:c r="A168" s="163" t="str">
        <x:v>SRC-0167</x:v>
      </x:c>
      <x:c r="B168" s="164" t="str">
        <x:v>https://world.openbeautyfacts.org/product/05877100/speed-stick-fresh-deodorant</x:v>
      </x:c>
      <x:c r="C168" s="164" t="str">
        <x:v>Open Beauty Facts</x:v>
      </x:c>
      <x:c r="D168" s="164" t="str">
        <x:v>Secondary crowdsourced registry</x:v>
      </x:c>
      <x:c r="E168" s="164" t="str">
        <x:v>CA Speed Stick: Speed Stick Fresh Deodorant</x:v>
      </x:c>
      <x:c r="F168" s="164" t="str">
        <x:v>SKU Library</x:v>
      </x:c>
      <x:c r="G168" s="167" t="str">
        <x:v>2026-08-31</x:v>
      </x:c>
    </x:row>
    <x:row r="169" ht="18" customHeight="1">
      <x:c r="A169" s="163" t="str">
        <x:v>SRC-0168</x:v>
      </x:c>
      <x:c r="B169" s="164" t="str">
        <x:v>https://world.openbeautyfacts.org/product/05886409/fruity-melon-fresh-infusions-invisible-antiperspirant-lady-speed-stick</x:v>
      </x:c>
      <x:c r="C169" s="164" t="str">
        <x:v>Open Beauty Facts</x:v>
      </x:c>
      <x:c r="D169" s="164" t="str">
        <x:v>Secondary crowdsourced registry</x:v>
      </x:c>
      <x:c r="E169" s="164" t="str">
        <x:v>CA Lady Speed Stick: Fruity Melon Fresh Infusions Invisible Antiperspirant</x:v>
      </x:c>
      <x:c r="F169" s="164" t="str">
        <x:v>SKU Library</x:v>
      </x:c>
      <x:c r="G169" s="167" t="str">
        <x:v>2026-08-31</x:v>
      </x:c>
    </x:row>
    <x:row r="170" ht="18" customHeight="1">
      <x:c r="A170" s="163" t="str">
        <x:v>SRC-0169</x:v>
      </x:c>
      <x:c r="B170" s="164" t="str">
        <x:v>https://world.openbeautyfacts.org/product/05886603/lady-speed-stick-invisible-unscented-antiperspirant-colgate-palmolive</x:v>
      </x:c>
      <x:c r="C170" s="164" t="str">
        <x:v>Open Beauty Facts</x:v>
      </x:c>
      <x:c r="D170" s="164" t="str">
        <x:v>Secondary crowdsourced registry</x:v>
      </x:c>
      <x:c r="E170" s="164" t="str">
        <x:v>CA Lady Speed Stick: Lady Speed Stick Invisible Unscented Antiperspirant</x:v>
      </x:c>
      <x:c r="F170" s="164" t="str">
        <x:v>SKU Library</x:v>
      </x:c>
      <x:c r="G170" s="167" t="str">
        <x:v>2026-08-31</x:v>
      </x:c>
    </x:row>
    <x:row r="171" ht="18" customHeight="1">
      <x:c r="A171" s="163" t="str">
        <x:v>SRC-0170</x:v>
      </x:c>
      <x:c r="B171" s="164" t="str">
        <x:v>https://world.openbeautyfacts.org/product/05888805/sensitive-pro-relief-anticavity-toothpaste-colgate</x:v>
      </x:c>
      <x:c r="C171" s="164" t="str">
        <x:v>Open Beauty Facts</x:v>
      </x:c>
      <x:c r="D171" s="164" t="str">
        <x:v>Secondary crowdsourced registry</x:v>
      </x:c>
      <x:c r="E171" s="164" t="str">
        <x:v>CA Colgate: Sensitive Pro-Relief Anticavity Toothpaste</x:v>
      </x:c>
      <x:c r="F171" s="164" t="str">
        <x:v>SKU Library</x:v>
      </x:c>
      <x:c r="G171" s="167" t="str">
        <x:v>2026-08-31</x:v>
      </x:c>
    </x:row>
    <x:row r="172" ht="18" customHeight="1">
      <x:c r="A172" s="163" t="str">
        <x:v>SRC-0171</x:v>
      </x:c>
      <x:c r="B172" s="164" t="str">
        <x:v>https://world.openbeautyfacts.org/product/07735745/tom-s-tom-s-of-maine</x:v>
      </x:c>
      <x:c r="C172" s="164" t="str">
        <x:v>Open Beauty Facts</x:v>
      </x:c>
      <x:c r="D172" s="164" t="str">
        <x:v>Secondary crowdsourced registry</x:v>
      </x:c>
      <x:c r="E172" s="164" t="str">
        <x:v>USA Tom's of Maine: Tom's</x:v>
      </x:c>
      <x:c r="F172" s="164" t="str">
        <x:v>SKU Library</x:v>
      </x:c>
      <x:c r="G172" s="167" t="str">
        <x:v>2026-08-31</x:v>
      </x:c>
    </x:row>
    <x:row r="173" ht="18" customHeight="1">
      <x:c r="A173" s="163" t="str">
        <x:v>SRC-0172</x:v>
      </x:c>
      <x:c r="B173" s="164" t="str">
        <x:v>https://world.openbeautyfacts.org/product/0819156020028/kids-rinse-fresh-watermelon-hello</x:v>
      </x:c>
      <x:c r="C173" s="164" t="str">
        <x:v>Open Beauty Facts</x:v>
      </x:c>
      <x:c r="D173" s="164" t="str">
        <x:v>Secondary crowdsourced registry</x:v>
      </x:c>
      <x:c r="E173" s="164" t="str">
        <x:v>USA hello: Kids Rinse Fresh Watermelon</x:v>
      </x:c>
      <x:c r="F173" s="164" t="str">
        <x:v>SKU Library</x:v>
      </x:c>
      <x:c r="G173" s="167" t="str">
        <x:v>2026-08-31</x:v>
      </x:c>
    </x:row>
    <x:row r="174" ht="18" customHeight="1">
      <x:c r="A174" s="163" t="str">
        <x:v>SRC-0173</x:v>
      </x:c>
      <x:c r="B174" s="164" t="str">
        <x:v>https://world.openbeautyfacts.org/product/0819156021278/clean-fresh-24-hr-deodorant-hello</x:v>
      </x:c>
      <x:c r="C174" s="164" t="str">
        <x:v>Open Beauty Facts</x:v>
      </x:c>
      <x:c r="D174" s="164" t="str">
        <x:v>Secondary crowdsourced registry</x:v>
      </x:c>
      <x:c r="E174" s="164" t="str">
        <x:v>USA hello: Clean + Fresh 24 Hr. Deodorant</x:v>
      </x:c>
      <x:c r="F174" s="164" t="str">
        <x:v>SKU Library</x:v>
      </x:c>
      <x:c r="G174" s="167" t="str">
        <x:v>2026-08-31</x:v>
      </x:c>
    </x:row>
    <x:row r="175" ht="18" customHeight="1">
      <x:c r="A175" s="163" t="str">
        <x:v>SRC-0174</x:v>
      </x:c>
      <x:c r="B175" s="164" t="str">
        <x:v>https://world.openbeautyfacts.org/product/0819156021285/fresh-citrus-hello</x:v>
      </x:c>
      <x:c r="C175" s="164" t="str">
        <x:v>Open Beauty Facts</x:v>
      </x:c>
      <x:c r="D175" s="164" t="str">
        <x:v>Secondary crowdsourced registry</x:v>
      </x:c>
      <x:c r="E175" s="164" t="str">
        <x:v>USA hello: Fresh Citrus</x:v>
      </x:c>
      <x:c r="F175" s="164" t="str">
        <x:v>SKU Library</x:v>
      </x:c>
      <x:c r="G175" s="167" t="str">
        <x:v>2026-08-31</x:v>
      </x:c>
    </x:row>
    <x:row r="176" ht="18" customHeight="1">
      <x:c r="A176" s="163" t="str">
        <x:v>SRC-0175</x:v>
      </x:c>
      <x:c r="B176" s="164" t="str">
        <x:v>https://world.openbeautyfacts.org/product/0819156022442/sweet-coconut-24-hr-deodorant-hello</x:v>
      </x:c>
      <x:c r="C176" s="164" t="str">
        <x:v>Open Beauty Facts</x:v>
      </x:c>
      <x:c r="D176" s="164" t="str">
        <x:v>Secondary crowdsourced registry</x:v>
      </x:c>
      <x:c r="E176" s="164" t="str">
        <x:v>USA hello: Sweet Coconut 24 hr. Deodorant</x:v>
      </x:c>
      <x:c r="F176" s="164" t="str">
        <x:v>SKU Library</x:v>
      </x:c>
      <x:c r="G176" s="167" t="str">
        <x:v>2026-08-31</x:v>
      </x:c>
    </x:row>
    <x:row r="177" ht="18" customHeight="1">
      <x:c r="A177" s="163" t="str">
        <x:v>SRC-0176</x:v>
      </x:c>
      <x:c r="B177" s="164" t="str">
        <x:v>https://world.openbeautyfacts.org/product/0819156023432/peace-out-plaque-antigingivitis-antiplaque-mouthwash-hello</x:v>
      </x:c>
      <x:c r="C177" s="164" t="str">
        <x:v>Open Beauty Facts</x:v>
      </x:c>
      <x:c r="D177" s="164" t="str">
        <x:v>Secondary crowdsourced registry</x:v>
      </x:c>
      <x:c r="E177" s="164" t="str">
        <x:v>USA hello: Peace out, plaque Antigingivitis/antiplaque mouthwash</x:v>
      </x:c>
      <x:c r="F177" s="164" t="str">
        <x:v>SKU Library</x:v>
      </x:c>
      <x:c r="G177" s="167" t="str">
        <x:v>2026-08-31</x:v>
      </x:c>
    </x:row>
    <x:row r="178" ht="18" customHeight="1">
      <x:c r="A178" s="163" t="str">
        <x:v>SRC-0177</x:v>
      </x:c>
      <x:c r="B178" s="164" t="str">
        <x:v>https://world.openbeautyfacts.org/product/0819156023630/smiling-shark-fluoride-free-toothpaste-hello</x:v>
      </x:c>
      <x:c r="C178" s="164" t="str">
        <x:v>Open Beauty Facts</x:v>
      </x:c>
      <x:c r="D178" s="164" t="str">
        <x:v>Secondary crowdsourced registry</x:v>
      </x:c>
      <x:c r="E178" s="164" t="str">
        <x:v>USA hello: Smiling Shark Fluoride Free Toothpaste</x:v>
      </x:c>
      <x:c r="F178" s="164" t="str">
        <x:v>SKU Library</x:v>
      </x:c>
      <x:c r="G178" s="167" t="str">
        <x:v>2026-08-31</x:v>
      </x:c>
    </x:row>
    <x:row r="179" ht="18" customHeight="1">
      <x:c r="A179" s="163" t="str">
        <x:v>SRC-0178</x:v>
      </x:c>
      <x:c r="B179" s="164" t="str">
        <x:v>https://world.openbeautyfacts.org/product/0827854001898/colgate-total-fresh-mint</x:v>
      </x:c>
      <x:c r="C179" s="164" t="str">
        <x:v>Open Beauty Facts</x:v>
      </x:c>
      <x:c r="D179" s="164" t="str">
        <x:v>Secondary crowdsourced registry</x:v>
      </x:c>
      <x:c r="E179" s="164" t="str">
        <x:v>USA Colgate: colgate total fresh mint</x:v>
      </x:c>
      <x:c r="F179" s="164" t="str">
        <x:v>SKU Library</x:v>
      </x:c>
      <x:c r="G179" s="167" t="str">
        <x:v>2026-08-31</x:v>
      </x:c>
    </x:row>
    <x:row r="180" ht="18" customHeight="1">
      <x:c r="A180" s="163" t="str">
        <x:v>SRC-0179</x:v>
      </x:c>
      <x:c r="B180" s="164" t="str">
        <x:v>https://world.openbeautyfacts.org/product/0827854007234/essential-clean-lemon-zest-palmolive</x:v>
      </x:c>
      <x:c r="C180" s="164" t="str">
        <x:v>Open Beauty Facts</x:v>
      </x:c>
      <x:c r="D180" s="164" t="str">
        <x:v>Secondary crowdsourced registry</x:v>
      </x:c>
      <x:c r="E180" s="164" t="str">
        <x:v>CA Palmolive: Essential Clean - Lemon Zest</x:v>
      </x:c>
      <x:c r="F180" s="164" t="str">
        <x:v>SKU Library</x:v>
      </x:c>
      <x:c r="G180" s="167" t="str">
        <x:v>2026-08-31</x:v>
      </x:c>
    </x:row>
    <x:row r="181" ht="18" customHeight="1">
      <x:c r="A181" s="163" t="str">
        <x:v>SRC-0180</x:v>
      </x:c>
      <x:c r="B181" s="164" t="str">
        <x:v>https://world.openbeautyfacts.org/product/0827854013761/antiplaque-whitening-toothpaste-tom-s-of-maine</x:v>
      </x:c>
      <x:c r="C181" s="164" t="str">
        <x:v>Open Beauty Facts</x:v>
      </x:c>
      <x:c r="D181" s="164" t="str">
        <x:v>Secondary crowdsourced registry</x:v>
      </x:c>
      <x:c r="E181" s="164" t="str">
        <x:v>USA Tom's of Maine: Antiplaque &amp; Whitening Toothpaste</x:v>
      </x:c>
      <x:c r="F181" s="164" t="str">
        <x:v>SKU Library</x:v>
      </x:c>
      <x:c r="G181" s="167" t="str">
        <x:v>2026-08-31</x:v>
      </x:c>
    </x:row>
    <x:row r="182" ht="18" customHeight="1">
      <x:c r="A182" s="163" t="str">
        <x:v>SRC-0181</x:v>
      </x:c>
      <x:c r="B182" s="164" t="str">
        <x:v>https://world.openbeautyfacts.org/product/0827854015321/prevident-colgate</x:v>
      </x:c>
      <x:c r="C182" s="164" t="str">
        <x:v>Open Beauty Facts</x:v>
      </x:c>
      <x:c r="D182" s="164" t="str">
        <x:v>Secondary crowdsourced registry</x:v>
      </x:c>
      <x:c r="E182" s="164" t="str">
        <x:v>CA Colgate: PreviDent</x:v>
      </x:c>
      <x:c r="F182" s="164" t="str">
        <x:v>SKU Library</x:v>
      </x:c>
      <x:c r="G182" s="167" t="str">
        <x:v>2026-08-31</x:v>
      </x:c>
    </x:row>
    <x:row r="183" ht="18" customHeight="1">
      <x:c r="A183" s="163" t="str">
        <x:v>SRC-0182</x:v>
      </x:c>
      <x:c r="B183" s="164" t="str">
        <x:v>https://world.openbeautyfacts.org/product/0827854020714/saharan-dawn-cedar-vetiver-scent-irish-spring</x:v>
      </x:c>
      <x:c r="C183" s="164" t="str">
        <x:v>Open Beauty Facts</x:v>
      </x:c>
      <x:c r="D183" s="164" t="str">
        <x:v>Secondary crowdsourced registry</x:v>
      </x:c>
      <x:c r="E183" s="164" t="str">
        <x:v>CA Irish Spring: Saharan Dawn - Cedar &amp; Vetiver Scent</x:v>
      </x:c>
      <x:c r="F183" s="164" t="str">
        <x:v>SKU Library</x:v>
      </x:c>
      <x:c r="G183" s="167" t="str">
        <x:v>2026-08-31</x:v>
      </x:c>
    </x:row>
    <x:row r="184" ht="18" customHeight="1">
      <x:c r="A184" s="163" t="str">
        <x:v>SRC-0183</x:v>
      </x:c>
      <x:c r="B184" s="164" t="str">
        <x:v>https://world.openbeautyfacts.org/product/0827854026402/hello-super-fresh-spearmint</x:v>
      </x:c>
      <x:c r="C184" s="164" t="str">
        <x:v>Open Beauty Facts</x:v>
      </x:c>
      <x:c r="D184" s="164" t="str">
        <x:v>Secondary crowdsourced registry</x:v>
      </x:c>
      <x:c r="E184" s="164" t="str">
        <x:v>USA hello: Hello super fresh spearmint</x:v>
      </x:c>
      <x:c r="F184" s="164" t="str">
        <x:v>SKU Library</x:v>
      </x:c>
      <x:c r="G184" s="167" t="str">
        <x:v>2026-08-31</x:v>
      </x:c>
    </x:row>
    <x:row r="185" ht="18" customHeight="1">
      <x:c r="A185" s="163" t="str">
        <x:v>SRC-0184</x:v>
      </x:c>
      <x:c r="B185" s="164" t="str">
        <x:v>https://world.openbeautyfacts.org/product/0827854026518/golden-hour-deodorant-hello</x:v>
      </x:c>
      <x:c r="C185" s="164" t="str">
        <x:v>Open Beauty Facts</x:v>
      </x:c>
      <x:c r="D185" s="164" t="str">
        <x:v>Secondary crowdsourced registry</x:v>
      </x:c>
      <x:c r="E185" s="164" t="str">
        <x:v>USA hello: Golden Hour Deodorant</x:v>
      </x:c>
      <x:c r="F185" s="164" t="str">
        <x:v>SKU Library</x:v>
      </x:c>
      <x:c r="G185" s="167" t="str">
        <x:v>2026-08-31</x:v>
      </x:c>
    </x:row>
    <x:row r="186" ht="18" customHeight="1">
      <x:c r="A186" s="163" t="str">
        <x:v>SRC-0185</x:v>
      </x:c>
      <x:c r="B186" s="164" t="str">
        <x:v>https://world.openbeautyfacts.org/product/0827854026549/wild-berry-deodorant-hello</x:v>
      </x:c>
      <x:c r="C186" s="164" t="str">
        <x:v>Open Beauty Facts</x:v>
      </x:c>
      <x:c r="D186" s="164" t="str">
        <x:v>Secondary crowdsourced registry</x:v>
      </x:c>
      <x:c r="E186" s="164" t="str">
        <x:v>USA hello: Wild Berry Deodorant</x:v>
      </x:c>
      <x:c r="F186" s="164" t="str">
        <x:v>SKU Library</x:v>
      </x:c>
      <x:c r="G186" s="167" t="str">
        <x:v>2026-08-31</x:v>
      </x:c>
    </x:row>
    <x:row r="187" ht="18" customHeight="1">
      <x:c r="A187" s="163" t="str">
        <x:v>SRC-0186</x:v>
      </x:c>
      <x:c r="B187" s="164" t="str">
        <x:v>https://world.openbeautyfacts.org/product/0827854027317/antiplaque-whitening-fluoride-free-toothpaste-hello</x:v>
      </x:c>
      <x:c r="C187" s="164" t="str">
        <x:v>Open Beauty Facts</x:v>
      </x:c>
      <x:c r="D187" s="164" t="str">
        <x:v>Secondary crowdsourced registry</x:v>
      </x:c>
      <x:c r="E187" s="164" t="str">
        <x:v>USA hello: antiplaque + whitening fluoride free toothpaste</x:v>
      </x:c>
      <x:c r="F187" s="164" t="str">
        <x:v>SKU Library</x:v>
      </x:c>
      <x:c r="G187" s="167" t="str">
        <x:v>2026-08-31</x:v>
      </x:c>
    </x:row>
    <x:row r="188" ht="18" customHeight="1">
      <x:c r="A188" s="163" t="str">
        <x:v>SRC-0187</x:v>
      </x:c>
      <x:c r="B188" s="164" t="str">
        <x:v>https://world.openbeautyfacts.org/product/13334303/dentifrice-colgate</x:v>
      </x:c>
      <x:c r="C188" s="164" t="str">
        <x:v>Open Beauty Facts</x:v>
      </x:c>
      <x:c r="D188" s="164" t="str">
        <x:v>Secondary crowdsourced registry</x:v>
      </x:c>
      <x:c r="E188" s="164" t="str">
        <x:v>CA Colgate: dentifrice</x:v>
      </x:c>
      <x:c r="F188" s="164" t="str">
        <x:v>SKU Library</x:v>
      </x:c>
      <x:c r="G188" s="167" t="str">
        <x:v>2026-08-31</x:v>
      </x:c>
    </x:row>
    <x:row r="189" ht="18" customHeight="1">
      <x:c r="A189" s="163" t="str">
        <x:v>SRC-0188</x:v>
      </x:c>
      <x:c r="B189" s="164" t="str">
        <x:v>https://world.openbeautyfacts.org/product/15060068/colgate-total</x:v>
      </x:c>
      <x:c r="C189" s="164" t="str">
        <x:v>Open Beauty Facts</x:v>
      </x:c>
      <x:c r="D189" s="164" t="str">
        <x:v>Secondary crowdsourced registry</x:v>
      </x:c>
      <x:c r="E189" s="164" t="str">
        <x:v>CA Colgate: colgate total</x:v>
      </x:c>
      <x:c r="F189" s="164" t="str">
        <x:v>SKU Library</x:v>
      </x:c>
      <x:c r="G189" s="167" t="str">
        <x:v>2026-08-31</x:v>
      </x:c>
    </x:row>
    <x:row r="190" ht="18" customHeight="1">
      <x:c r="A190" s="163" t="str">
        <x:v>SRC-0189</x:v>
      </x:c>
      <x:c r="B190" s="164" t="str">
        <x:v>https://world.openbeautyfacts.org/product/18863341/tom-s-deodorant-tom-s-of-maine</x:v>
      </x:c>
      <x:c r="C190" s="164" t="str">
        <x:v>Open Beauty Facts</x:v>
      </x:c>
      <x:c r="D190" s="164" t="str">
        <x:v>Secondary crowdsourced registry</x:v>
      </x:c>
      <x:c r="E190" s="164" t="str">
        <x:v>USA Tom's of Maine: Tom's deodorant</x:v>
      </x:c>
      <x:c r="F190" s="164" t="str">
        <x:v>SKU Library</x:v>
      </x:c>
      <x:c r="G190" s="167" t="str">
        <x:v>2026-08-31</x:v>
      </x:c>
    </x:row>
    <x:row r="191" ht="18" customHeight="1">
      <x:c r="A191" s="163" t="str">
        <x:v>SRC-0190</x:v>
      </x:c>
      <x:c r="B191" s="164" t="str">
        <x:v>https://world.openbeautyfacts.org/product/7891024110129/colgate-total-12-creme-dental</x:v>
      </x:c>
      <x:c r="C191" s="164" t="str">
        <x:v>Open Beauty Facts</x:v>
      </x:c>
      <x:c r="D191" s="164" t="str">
        <x:v>Secondary crowdsourced registry</x:v>
      </x:c>
      <x:c r="E191" s="164" t="str">
        <x:v>USA Colgate: Colgate Total 12 Creme Dental</x:v>
      </x:c>
      <x:c r="F191" s="164" t="str">
        <x:v>SKU Library</x:v>
      </x:c>
      <x:c r="G191" s="167" t="str">
        <x:v>2026-08-31</x:v>
      </x:c>
    </x:row>
    <x:row r="192" ht="18" customHeight="1">
      <x:c r="A192" s="163" t="str">
        <x:v>SRC-0191</x:v>
      </x:c>
      <x:c r="B192" s="164" t="str">
        <x:v>https://world.openbeautyfacts.org/product/8714789726168/plax-cool-mint-500ml-colgate</x:v>
      </x:c>
      <x:c r="C192" s="164" t="str">
        <x:v>Open Beauty Facts</x:v>
      </x:c>
      <x:c r="D192" s="164" t="str">
        <x:v>Secondary crowdsourced registry</x:v>
      </x:c>
      <x:c r="E192" s="164" t="str">
        <x:v>USA Colgate: Plax Cool Mint 500ml</x:v>
      </x:c>
      <x:c r="F192" s="164" t="str">
        <x:v>SKU Library</x:v>
      </x:c>
      <x:c r="G192" s="167" t="str">
        <x:v>2026-08-31</x:v>
      </x:c>
    </x:row>
    <x:row r="193" ht="18" customHeight="1">
      <x:c r="A193" s="163" t="str">
        <x:v>SRC-0192</x:v>
      </x:c>
      <x:c r="B193" s="164" t="str">
        <x:v>https://world.openbeautyfacts.org/product/8714789844282/advanced-white-colgate</x:v>
      </x:c>
      <x:c r="C193" s="164" t="str">
        <x:v>Open Beauty Facts</x:v>
      </x:c>
      <x:c r="D193" s="164" t="str">
        <x:v>Secondary crowdsourced registry</x:v>
      </x:c>
      <x:c r="E193" s="164" t="str">
        <x:v>USA Colgate: Advanced White</x:v>
      </x:c>
      <x:c r="F193" s="164" t="str">
        <x:v>SKU Library</x:v>
      </x:c>
      <x:c r="G193" s="167" t="str">
        <x:v>2026-08-31</x:v>
      </x:c>
    </x:row>
    <x:row r="194" ht="18" customHeight="1">
      <x:c r="A194" s="163" t="str">
        <x:v>SRC-0193</x:v>
      </x:c>
      <x:c r="B194" s="164" t="str">
        <x:v>https://world.openbeautyfacts.org/product/8714789917146/mouthwash-colgate</x:v>
      </x:c>
      <x:c r="C194" s="164" t="str">
        <x:v>Open Beauty Facts</x:v>
      </x:c>
      <x:c r="D194" s="164" t="str">
        <x:v>Secondary crowdsourced registry</x:v>
      </x:c>
      <x:c r="E194" s="164" t="str">
        <x:v>USA Colgate: Mouthwash</x:v>
      </x:c>
      <x:c r="F194" s="164" t="str">
        <x:v>SKU Library</x:v>
      </x:c>
      <x:c r="G194" s="167" t="str">
        <x:v>2026-08-31</x:v>
      </x:c>
    </x:row>
    <x:row r="195" ht="18" customHeight="1">
      <x:c r="A195" s="163" t="str">
        <x:v>SRC-0194</x:v>
      </x:c>
      <x:c r="B195" s="164" t="str">
        <x:v>https://world.openbeautyfacts.org/product/8718951166561/colgate-max-fresh-cooling-crystals</x:v>
      </x:c>
      <x:c r="C195" s="164" t="str">
        <x:v>Open Beauty Facts</x:v>
      </x:c>
      <x:c r="D195" s="164" t="str">
        <x:v>Secondary crowdsourced registry</x:v>
      </x:c>
      <x:c r="E195" s="164" t="str">
        <x:v>USA Colgate: colgate max fresh cooling crystals</x:v>
      </x:c>
      <x:c r="F195" s="164" t="str">
        <x:v>SKU Library</x:v>
      </x:c>
      <x:c r="G195" s="167" t="str">
        <x:v>2026-08-31</x:v>
      </x:c>
    </x:row>
    <x:row r="196" ht="18" customHeight="1">
      <x:c r="A196" s="163" t="str">
        <x:v>SRC-0195</x:v>
      </x:c>
      <x:c r="B196" s="164" t="str">
        <x:v>https://world.openbeautyfacts.org/product/8718951508439/eco-refill-palmolive</x:v>
      </x:c>
      <x:c r="C196" s="164" t="str">
        <x:v>Open Beauty Facts</x:v>
      </x:c>
      <x:c r="D196" s="164" t="str">
        <x:v>Secondary crowdsourced registry</x:v>
      </x:c>
      <x:c r="E196" s="164" t="str">
        <x:v>USA Palmolive: Eco refill</x:v>
      </x:c>
      <x:c r="F196" s="164" t="str">
        <x:v>SKU Library</x:v>
      </x:c>
      <x:c r="G196" s="167" t="str">
        <x:v>2026-08-31</x:v>
      </x:c>
    </x:row>
    <x:row r="197" ht="18" customHeight="1">
      <x:c r="A197" s="163" t="str">
        <x:v>SRC-0196</x:v>
      </x:c>
      <x:c r="B197" s="164" t="str">
        <x:v>https://world.openfoodfacts.org/product/0074182459925/aloe-vera-fresh-scent-softsoap</x:v>
      </x:c>
      <x:c r="C197" s="164" t="str">
        <x:v>Open Food Facts</x:v>
      </x:c>
      <x:c r="D197" s="164" t="str">
        <x:v>Secondary crowdsourced registry</x:v>
      </x:c>
      <x:c r="E197" s="164" t="str">
        <x:v>CA Softsoap: Aloe Vera Fresh Scent</x:v>
      </x:c>
      <x:c r="F197" s="164" t="str">
        <x:v>SKU Library</x:v>
      </x:c>
      <x:c r="G197" s="167" t="str">
        <x:v>2026-08-31</x:v>
      </x:c>
    </x:row>
    <x:row r="198" ht="18" customHeight="1">
      <x:c r="A198" s="163" t="str">
        <x:v>SRC-0197</x:v>
      </x:c>
      <x:c r="B198" s="164" t="str">
        <x:v>https://world.openfoodfacts.org/product/05542238/speed-stick</x:v>
      </x:c>
      <x:c r="C198" s="164" t="str">
        <x:v>Open Food Facts</x:v>
      </x:c>
      <x:c r="D198" s="164" t="str">
        <x:v>Secondary crowdsourced registry</x:v>
      </x:c>
      <x:c r="E198" s="164" t="str">
        <x:v>CA Speed Stick: speed stick</x:v>
      </x:c>
      <x:c r="F198" s="164" t="str">
        <x:v>SKU Library</x:v>
      </x:c>
      <x:c r="G198" s="167" t="str">
        <x:v>2026-08-31</x:v>
      </x:c>
    </x:row>
    <x:row r="199" ht="18" customHeight="1">
      <x:c r="A199" s="163" t="str">
        <x:v>SRC-0198</x:v>
      </x:c>
      <x:c r="B199" s="164" t="str">
        <x:v>https://world.openfoodfacts.org/product/0827854005797/mountain-spring-tom-s-of-maine</x:v>
      </x:c>
      <x:c r="C199" s="164" t="str">
        <x:v>Open Food Facts</x:v>
      </x:c>
      <x:c r="D199" s="164" t="str">
        <x:v>Secondary crowdsourced registry</x:v>
      </x:c>
      <x:c r="E199" s="164" t="str">
        <x:v>USA Tom's of Maine: Mountain Spring</x:v>
      </x:c>
      <x:c r="F199" s="164" t="str">
        <x:v>SKU Library</x:v>
      </x:c>
      <x:c r="G199" s="167" t="str">
        <x:v>2026-08-31</x:v>
      </x:c>
    </x:row>
    <x:row r="200" ht="18" customHeight="1">
      <x:c r="A200" s="163" t="str">
        <x:v>SRC-0199</x:v>
      </x:c>
      <x:c r="B200" s="164" t="str">
        <x:v>https://world.openpetfoodfacts.org/product/0052742005447/large-breed-puppy-hill-s-science-diet</x:v>
      </x:c>
      <x:c r="C200" s="164" t="str">
        <x:v>Open Pet Food Facts</x:v>
      </x:c>
      <x:c r="D200" s="164" t="str">
        <x:v>Secondary crowdsourced registry</x:v>
      </x:c>
      <x:c r="E200" s="164" t="str">
        <x:v>CA Hill's Science Diet: Large breed puppy</x:v>
      </x:c>
      <x:c r="F200" s="164" t="str">
        <x:v>SKU Library</x:v>
      </x:c>
      <x:c r="G200" s="167" t="str">
        <x:v>2026-08-31</x:v>
      </x:c>
    </x:row>
    <x:row r="201" ht="18" customHeight="1">
      <x:c r="A201" s="163" t="str">
        <x:v>SRC-0200</x:v>
      </x:c>
      <x:c r="B201" s="164" t="str">
        <x:v>https://world.openpetfoodfacts.org/product/0052742006437/adult-1-6-cat-food-16lbs-hills-science-diet</x:v>
      </x:c>
      <x:c r="C201" s="164" t="str">
        <x:v>Open Pet Food Facts</x:v>
      </x:c>
      <x:c r="D201" s="164" t="str">
        <x:v>Secondary crowdsourced registry</x:v>
      </x:c>
      <x:c r="E201" s="164" t="str">
        <x:v>USA Hill's Science Diet: Adult 1-6 cat food 16lbs</x:v>
      </x:c>
      <x:c r="F201" s="164" t="str">
        <x:v>SKU Library</x:v>
      </x:c>
      <x:c r="G201" s="167" t="str">
        <x:v>2026-08-31</x:v>
      </x:c>
    </x:row>
    <x:row r="202" ht="18" customHeight="1">
      <x:c r="A202" s="163" t="str">
        <x:v>SRC-0201</x:v>
      </x:c>
      <x:c r="B202" s="164" t="str">
        <x:v>https://world.openpetfoodfacts.org/product/0052742012490/hill-s-science-diet-hairball-control</x:v>
      </x:c>
      <x:c r="C202" s="164" t="str">
        <x:v>Open Pet Food Facts</x:v>
      </x:c>
      <x:c r="D202" s="164" t="str">
        <x:v>Secondary crowdsourced registry</x:v>
      </x:c>
      <x:c r="E202" s="164" t="str">
        <x:v>USA Hill's Science Diet: Hill's Science Diet Hairball Control</x:v>
      </x:c>
      <x:c r="F202" s="164" t="str">
        <x:v>SKU Library</x:v>
      </x:c>
      <x:c r="G202" s="167" t="str">
        <x:v>2026-08-31</x:v>
      </x:c>
    </x:row>
    <x:row r="203" ht="18" customHeight="1">
      <x:c r="A203" s="163" t="str">
        <x:v>SRC-0202</x:v>
      </x:c>
      <x:c r="B203" s="164" t="str">
        <x:v>https://world.openpetfoodfacts.org/product/0052742204505/adult-1-6-hill-s-science-diet</x:v>
      </x:c>
      <x:c r="C203" s="164" t="str">
        <x:v>Open Pet Food Facts</x:v>
      </x:c>
      <x:c r="D203" s="164" t="str">
        <x:v>Secondary crowdsourced registry</x:v>
      </x:c>
      <x:c r="E203" s="164" t="str">
        <x:v>CA Hill's Science Diet: Adult 1-6</x:v>
      </x:c>
      <x:c r="F203" s="164" t="str">
        <x:v>SKU Library</x:v>
      </x:c>
      <x:c r="G203" s="167" t="str">
        <x:v>2026-08-31</x:v>
      </x:c>
    </x:row>
    <x:row r="204" ht="18" customHeight="1">
      <x:c r="A204" s="163" t="str">
        <x:v>SRC-0203</x:v>
      </x:c>
      <x:c r="B204" s="164" t="str">
        <x:v>https://world.openpetfoodfacts.org/product/0052742289601/small-mini-adult-1-6-hill-s-science-diet</x:v>
      </x:c>
      <x:c r="C204" s="164" t="str">
        <x:v>Open Pet Food Facts</x:v>
      </x:c>
      <x:c r="D204" s="164" t="str">
        <x:v>Secondary crowdsourced registry</x:v>
      </x:c>
      <x:c r="E204" s="164" t="str">
        <x:v>USA Hill's Science Diet: Small &amp; Mini ADULT 1-6</x:v>
      </x:c>
      <x:c r="F204" s="164" t="str">
        <x:v>SKU Library</x:v>
      </x:c>
      <x:c r="G204" s="167" t="str">
        <x:v>2026-08-31</x:v>
      </x:c>
    </x:row>
    <x:row r="205" ht="18" customHeight="1">
      <x:c r="A205" s="163" t="str">
        <x:v>SRC-0204</x:v>
      </x:c>
      <x:c r="B205" s="164" t="str">
        <x:v>https://world.openpetfoodfacts.org/product/0052742928852/oral-care-adult-hills-science-diet</x:v>
      </x:c>
      <x:c r="C205" s="164" t="str">
        <x:v>Open Pet Food Facts</x:v>
      </x:c>
      <x:c r="D205" s="164" t="str">
        <x:v>Secondary crowdsourced registry</x:v>
      </x:c>
      <x:c r="E205" s="164" t="str">
        <x:v>CA Hill's Science Diet: oral care adult</x:v>
      </x:c>
      <x:c r="F205" s="164" t="str">
        <x:v>SKU Library</x:v>
      </x:c>
      <x:c r="G205" s="167" t="str">
        <x:v>2026-08-31</x:v>
      </x:c>
    </x:row>
    <x:row r="206" ht="18" customHeight="1">
      <x:c r="A206" s="163" t="str">
        <x:v>SRC-0205</x:v>
      </x:c>
      <x:c r="B206" s="164" t="str">
        <x:v>https://world.openproductsfacts.org/product/0035000450685/palmolive-pure-clear-dish-liquid</x:v>
      </x:c>
      <x:c r="C206" s="164" t="str">
        <x:v>Open Products Facts</x:v>
      </x:c>
      <x:c r="D206" s="164" t="str">
        <x:v>Secondary crowdsourced registry</x:v>
      </x:c>
      <x:c r="E206" s="164" t="str">
        <x:v>USA Palmolive: Palmolive Pure   Clear Dish Liquid</x:v>
      </x:c>
      <x:c r="F206" s="164" t="str">
        <x:v>SKU Library</x:v>
      </x:c>
      <x:c r="G206" s="167" t="str">
        <x:v>2026-08-31</x:v>
      </x:c>
    </x:row>
    <x:row r="207" ht="18" customHeight="1">
      <x:c r="A207" s="163" t="str">
        <x:v>SRC-0206</x:v>
      </x:c>
      <x:c r="B207" s="164" t="str">
        <x:v>https://world.openproductsfacts.org/product/0035000466808/irish-spring-5-in-1</x:v>
      </x:c>
      <x:c r="C207" s="164" t="str">
        <x:v>Open Products Facts</x:v>
      </x:c>
      <x:c r="D207" s="164" t="str">
        <x:v>Secondary crowdsourced registry</x:v>
      </x:c>
      <x:c r="E207" s="164" t="str">
        <x:v>CA Irish Spring: Irish Spring 5 in 1</x:v>
      </x:c>
      <x:c r="F207" s="164" t="str">
        <x:v>SKU Library</x:v>
      </x:c>
      <x:c r="G207" s="167" t="str">
        <x:v>2026-08-31</x:v>
      </x:c>
    </x:row>
    <x:row r="208" ht="18" customHeight="1">
      <x:c r="A208" s="163" t="str">
        <x:v>SRC-0207</x:v>
      </x:c>
      <x:c r="B208" s="164" t="str">
        <x:v>https://world.openproductsfacts.org/product/0035000498618/ajax-ultra-lemon-scent-liquid-dish-soap</x:v>
      </x:c>
      <x:c r="C208" s="164" t="str">
        <x:v>Open Products Facts</x:v>
      </x:c>
      <x:c r="D208" s="164" t="str">
        <x:v>Secondary crowdsourced registry</x:v>
      </x:c>
      <x:c r="E208" s="164" t="str">
        <x:v>USA Ajax: Ajax Ultra Lemon Scent Liquid Dish Soap</x:v>
      </x:c>
      <x:c r="F208" s="164" t="str">
        <x:v>SKU Library</x:v>
      </x:c>
      <x:c r="G208" s="167" t="str">
        <x:v>2026-08-31</x:v>
      </x:c>
    </x:row>
    <x:row r="209" ht="18" customHeight="1">
      <x:c r="A209" s="163" t="str">
        <x:v>SRC-0208</x:v>
      </x:c>
      <x:c r="B209" s="164" t="str">
        <x:v>https://world.openproductsfacts.org/product/0035000689238/wisp-disposable-toothbrush-colgate</x:v>
      </x:c>
      <x:c r="C209" s="164" t="str">
        <x:v>Open Products Facts</x:v>
      </x:c>
      <x:c r="D209" s="164" t="str">
        <x:v>Secondary crowdsourced registry</x:v>
      </x:c>
      <x:c r="E209" s="164" t="str">
        <x:v>USA Colgate: Wisp Disposable Toothbrush</x:v>
      </x:c>
      <x:c r="F209" s="164" t="str">
        <x:v>SKU Library</x:v>
      </x:c>
      <x:c r="G209" s="167" t="str">
        <x:v>2026-08-31</x:v>
      </x:c>
    </x:row>
    <x:row r="210" ht="18" customHeight="1">
      <x:c r="A210" s="163" t="str">
        <x:v>SRC-0209</x:v>
      </x:c>
      <x:c r="B210" s="164" t="str">
        <x:v>https://world.openproductsfacts.org/product/0035000783257/baby-toothbrush-kit-colgate</x:v>
      </x:c>
      <x:c r="C210" s="164" t="str">
        <x:v>Open Products Facts</x:v>
      </x:c>
      <x:c r="D210" s="164" t="str">
        <x:v>Secondary crowdsourced registry</x:v>
      </x:c>
      <x:c r="E210" s="164" t="str">
        <x:v>USA Colgate: Baby toothbrush kit</x:v>
      </x:c>
      <x:c r="F210" s="164" t="str">
        <x:v>SKU Library</x:v>
      </x:c>
      <x:c r="G210" s="167" t="str">
        <x:v>2026-08-31</x:v>
      </x:c>
    </x:row>
    <x:row r="211" ht="18" customHeight="1">
      <x:c r="A211" s="163" t="str">
        <x:v>SRC-0210</x:v>
      </x:c>
      <x:c r="B211" s="164" t="str">
        <x:v>https://world.openproductsfacts.org/product/0074182463298/milk-honey-scent-liquid-soap-refill-softsoap</x:v>
      </x:c>
      <x:c r="C211" s="164" t="str">
        <x:v>Open Products Facts</x:v>
      </x:c>
      <x:c r="D211" s="164" t="str">
        <x:v>Secondary crowdsourced registry</x:v>
      </x:c>
      <x:c r="E211" s="164" t="str">
        <x:v>USA Softsoap: Milk &amp; Honey Scent Liquid Soap Refill</x:v>
      </x:c>
      <x:c r="F211" s="164" t="str">
        <x:v>SKU Library</x:v>
      </x:c>
      <x:c r="G211" s="167" t="str">
        <x:v>2026-08-31</x:v>
      </x:c>
    </x:row>
    <x:row r="212" ht="18" customHeight="1">
      <x:c r="A212" s="163" t="str">
        <x:v>SRC-0211</x:v>
      </x:c>
      <x:c r="B212" s="164" t="str">
        <x:v>https://world.openproductsfacts.org/product/05869101/lady-speed-stick</x:v>
      </x:c>
      <x:c r="C212" s="164" t="str">
        <x:v>Open Products Facts</x:v>
      </x:c>
      <x:c r="D212" s="164" t="str">
        <x:v>Secondary crowdsourced registry</x:v>
      </x:c>
      <x:c r="E212" s="164" t="str">
        <x:v>CA Lady Speed Stick: Lady Speed Stick</x:v>
      </x:c>
      <x:c r="F212" s="164" t="str">
        <x:v>SKU Library</x:v>
      </x:c>
      <x:c r="G212" s="167" t="str">
        <x:v>2026-08-31</x:v>
      </x:c>
    </x:row>
    <x:row r="213" ht="18" customHeight="1">
      <x:c r="A213" s="163" t="str">
        <x:v>SRC-0212</x:v>
      </x:c>
      <x:c r="B213" s="164" t="str">
        <x:v>https://world.openproductsfacts.org/product/0827854009467/fabric-softener-suavitel</x:v>
      </x:c>
      <x:c r="C213" s="164" t="str">
        <x:v>Open Products Facts</x:v>
      </x:c>
      <x:c r="D213" s="164" t="str">
        <x:v>Secondary crowdsourced registry</x:v>
      </x:c>
      <x:c r="E213" s="164" t="str">
        <x:v>USA Suavitel: Fabric Softener</x:v>
      </x:c>
      <x:c r="F213" s="164" t="str">
        <x:v>SKU Library</x:v>
      </x:c>
      <x:c r="G213" s="167" t="str">
        <x:v>2026-08-31</x:v>
      </x:c>
    </x:row>
    <x:row r="214" ht="18" customHeight="1">
      <x:c r="A214" s="163" t="str">
        <x:v>SRC-0213</x:v>
      </x:c>
      <x:c r="B214" s="164" t="str">
        <x:v>https://world.openproductsfacts.org/product/8714789992013/liquid-hand-wash-refill-palmolive</x:v>
      </x:c>
      <x:c r="C214" s="164" t="str">
        <x:v>Open Products Facts</x:v>
      </x:c>
      <x:c r="D214" s="164" t="str">
        <x:v>Secondary crowdsourced registry</x:v>
      </x:c>
      <x:c r="E214" s="164" t="str">
        <x:v>USA Palmolive: Liquid Hand-wash Refill</x:v>
      </x:c>
      <x:c r="F214" s="164" t="str">
        <x:v>SKU Library</x:v>
      </x:c>
      <x:c r="G214" s="167" t="str">
        <x:v>2026-08-31</x:v>
      </x:c>
    </x:row>
    <x:row r="215" ht="18" customHeight="1">
      <x:c r="A215" s="163" t="str">
        <x:v>SRC-0214</x:v>
      </x:c>
      <x:c r="B215" s="164" t="str">
        <x:v>https://world.openproductsfacts.org/product/8718951322264/medium-bamboo-charcoal-toothbrush-colgate</x:v>
      </x:c>
      <x:c r="C215" s="164" t="str">
        <x:v>Open Products Facts</x:v>
      </x:c>
      <x:c r="D215" s="164" t="str">
        <x:v>Secondary crowdsourced registry</x:v>
      </x:c>
      <x:c r="E215" s="164" t="str">
        <x:v>USA Colgate: Medium Bamboo Charcoal Toothbrush</x:v>
      </x:c>
      <x:c r="F215" s="164" t="str">
        <x:v>SKU Library</x:v>
      </x:c>
      <x:c r="G215" s="167" t="str">
        <x:v>2026-08-31</x:v>
      </x:c>
    </x:row>
    <x:row r="216" ht="18" customHeight="1">
      <x:c r="A216" s="163" t="str">
        <x:v>SRC-0215</x:v>
      </x:c>
      <x:c r="B216" s="164" t="str">
        <x:v>https://www.ajax.com/en-au/products/ajax-spray-antibacterial-multipurpose-cleaner-ocean-fresh</x:v>
      </x:c>
      <x:c r="C216" s="164" t="str">
        <x:v>Official product page</x:v>
      </x:c>
      <x:c r="D216" s="164" t="str">
        <x:v>Tier 1 - first party</x:v>
      </x:c>
      <x:c r="E216" s="164" t="str">
        <x:v>USA Ajax: Ajax® Spray n' Wipe Antibacterial Multipurpose Cleaner Ocean Fresh | Ajax</x:v>
      </x:c>
      <x:c r="F216" s="164" t="str">
        <x:v>SKU Library</x:v>
      </x:c>
      <x:c r="G216" s="167" t="str">
        <x:v>2026-08-31</x:v>
      </x:c>
    </x:row>
    <x:row r="217" ht="18" customHeight="1">
      <x:c r="A217" s="163" t="str">
        <x:v>SRC-0216</x:v>
      </x:c>
      <x:c r="B217" s="164" t="str">
        <x:v>https://www.ajax.com/en-us</x:v>
      </x:c>
      <x:c r="C217" s="164" t="str">
        <x:v>Official product page</x:v>
      </x:c>
      <x:c r="D217" s="164" t="str">
        <x:v>Tier 1 - first party</x:v>
      </x:c>
      <x:c r="E217" s="164" t="str">
        <x:v>USA Ajax: Household Cleaners | Ajax®</x:v>
      </x:c>
      <x:c r="F217" s="164" t="str">
        <x:v>SKU Library</x:v>
      </x:c>
      <x:c r="G217" s="167" t="str">
        <x:v>2026-08-31</x:v>
      </x:c>
    </x:row>
    <x:row r="218" ht="18" customHeight="1">
      <x:c r="A218" s="163" t="str">
        <x:v>SRC-0217</x:v>
      </x:c>
      <x:c r="B218" s="164" t="str">
        <x:v>https://www.ajax.com/en-us/products</x:v>
      </x:c>
      <x:c r="C218" s="164" t="str">
        <x:v>Official brand/corporate page</x:v>
      </x:c>
      <x:c r="D218" s="164" t="str">
        <x:v>Tier 1 - first party</x:v>
      </x:c>
      <x:c r="E218" s="164" t="str">
        <x:v>Positioning, assets and innovation themes</x:v>
      </x:c>
      <x:c r="F218" s="164" t="str">
        <x:v>Brand Repository: USA Ajax; SKU Library</x:v>
      </x:c>
      <x:c r="G218" s="167" t="str">
        <x:v>2026-08-31</x:v>
      </x:c>
    </x:row>
    <x:row r="219" ht="18" customHeight="1">
      <x:c r="A219" s="163" t="str">
        <x:v>SRC-0218</x:v>
      </x:c>
      <x:c r="B219" s="164" t="str">
        <x:v>https://www.ajax.com/en-us/products/all-purpose-cleaner-fresh</x:v>
      </x:c>
      <x:c r="C219" s="164" t="str">
        <x:v>Availability evidence</x:v>
      </x:c>
      <x:c r="D219" s="164" t="str">
        <x:v>Tier 1</x:v>
      </x:c>
      <x:c r="E219" s="164" t="str">
        <x:v>Market presence</x:v>
      </x:c>
      <x:c r="F219" s="164" t="str">
        <x:v>Brand Repository: USA Ajax; SKU Library</x:v>
      </x:c>
      <x:c r="G219" s="167" t="str">
        <x:v>2026-08-31</x:v>
      </x:c>
    </x:row>
    <x:row r="220" ht="18" customHeight="1">
      <x:c r="A220" s="163" t="str">
        <x:v>SRC-0219</x:v>
      </x:c>
      <x:c r="B220" s="164" t="str">
        <x:v>https://www.ajax.com/en-us/products/all-purpose-cleaner-lime</x:v>
      </x:c>
      <x:c r="C220" s="164" t="str">
        <x:v>Official product page</x:v>
      </x:c>
      <x:c r="D220" s="164" t="str">
        <x:v>Tier 1 - first party</x:v>
      </x:c>
      <x:c r="E220" s="164" t="str">
        <x:v>USA Ajax: Ajax® All Purpose Cleaner, Lime with Baking Soda</x:v>
      </x:c>
      <x:c r="F220" s="164" t="str">
        <x:v>SKU Library</x:v>
      </x:c>
      <x:c r="G220" s="167" t="str">
        <x:v>2026-08-31</x:v>
      </x:c>
    </x:row>
    <x:row r="221" ht="18" customHeight="1">
      <x:c r="A221" s="163" t="str">
        <x:v>SRC-0220</x:v>
      </x:c>
      <x:c r="B221" s="164" t="str">
        <x:v>https://www.ajax.com/en-us/products/powder-cleanser</x:v>
      </x:c>
      <x:c r="C221" s="164" t="str">
        <x:v>Official product page</x:v>
      </x:c>
      <x:c r="D221" s="164" t="str">
        <x:v>Tier 1 - first party</x:v>
      </x:c>
      <x:c r="E221" s="164" t="str">
        <x:v>USA Ajax: All Purpose Powder Cleaner | Ajax® Powder Cleanser</x:v>
      </x:c>
      <x:c r="F221" s="164" t="str">
        <x:v>SKU Library</x:v>
      </x:c>
      <x:c r="G221" s="167" t="str">
        <x:v>2026-08-31</x:v>
      </x:c>
    </x:row>
    <x:row r="222" ht="18" customHeight="1">
      <x:c r="A222" s="163" t="str">
        <x:v>SRC-0221</x:v>
      </x:c>
      <x:c r="B222" s="164" t="str">
        <x:v>https://www.ajax.com/en-us/products/super-degreaser-lemon-dish-soap</x:v>
      </x:c>
      <x:c r="C222" s="164" t="str">
        <x:v>Official product page</x:v>
      </x:c>
      <x:c r="D222" s="164" t="str">
        <x:v>Tier 1 - first party</x:v>
      </x:c>
      <x:c r="E222" s="164" t="str">
        <x:v>USA Ajax: Liquid Dish Soap Lemon Scen | Ajax® Ultra</x:v>
      </x:c>
      <x:c r="F222" s="164" t="str">
        <x:v>SKU Library</x:v>
      </x:c>
      <x:c r="G222" s="167" t="str">
        <x:v>2026-08-31</x:v>
      </x:c>
    </x:row>
    <x:row r="223" ht="18" customHeight="1">
      <x:c r="A223" s="163" t="str">
        <x:v>SRC-0222</x:v>
      </x:c>
      <x:c r="B223" s="164" t="str">
        <x:v>https://www.ajax.com/en-us/products/triple-action-orange-dish-soap</x:v>
      </x:c>
      <x:c r="C223" s="164" t="str">
        <x:v>Official product page</x:v>
      </x:c>
      <x:c r="D223" s="164" t="str">
        <x:v>Tier 1 - first party</x:v>
      </x:c>
      <x:c r="E223" s="164" t="str">
        <x:v>USA Ajax: Ajax Ultra Liquid Dish Soap Orange Scent, Triple Action</x:v>
      </x:c>
      <x:c r="F223" s="164" t="str">
        <x:v>SKU Library</x:v>
      </x:c>
      <x:c r="G223" s="167" t="str">
        <x:v>2026-08-31</x:v>
      </x:c>
    </x:row>
    <x:row r="224" ht="18" customHeight="1">
      <x:c r="A224" s="163" t="str">
        <x:v>SRC-0223</x:v>
      </x:c>
      <x:c r="B224" s="164" t="str">
        <x:v>https://www.amazon.ca/dp/B099NVKVMV/ref=twister_B0F7T635TJ</x:v>
      </x:c>
      <x:c r="C224" s="164" t="str">
        <x:v>Current retailer product page</x:v>
      </x:c>
      <x:c r="D224" s="164" t="str">
        <x:v>Tier 2 - retailer</x:v>
      </x:c>
      <x:c r="E224" s="164" t="str">
        <x:v>CA hello: Hello Goodbye Plaque-Hello Whitening Toothpaste, Fluoride Free, Vegan &amp; Sls Free, Natural Peppermint with Tea Tree &amp; Coconut Oil, 98ml, Pack of 3, Amazon Exclusive : Amazon.ca: Everything Else</x:v>
      </x:c>
      <x:c r="F224" s="164" t="str">
        <x:v>SKU Library</x:v>
      </x:c>
      <x:c r="G224" s="167" t="str">
        <x:v>2026-08-31</x:v>
      </x:c>
    </x:row>
    <x:row r="225" ht="18" customHeight="1">
      <x:c r="A225" s="163" t="str">
        <x:v>SRC-0224</x:v>
      </x:c>
      <x:c r="B225" s="164" t="str">
        <x:v>https://www.amazon.ca/Fabuloso-All-Purpose-Cleaner-Lavender/dp/B016TQCMP4</x:v>
      </x:c>
      <x:c r="C225" s="164" t="str">
        <x:v>Availability evidence</x:v>
      </x:c>
      <x:c r="D225" s="164" t="str">
        <x:v>Tier 2</x:v>
      </x:c>
      <x:c r="E225" s="164" t="str">
        <x:v>Market presence</x:v>
      </x:c>
      <x:c r="F225" s="164" t="str">
        <x:v>Brand Repository: CA Fabuloso; SKU Library</x:v>
      </x:c>
      <x:c r="G225" s="167" t="str">
        <x:v>2026-08-31</x:v>
      </x:c>
    </x:row>
    <x:row r="226" ht="18" customHeight="1">
      <x:c r="A226" s="163" t="str">
        <x:v>SRC-0225</x:v>
      </x:c>
      <x:c r="B226" s="164" t="str">
        <x:v>https://www.amazon.com/dp/B00IG4GPS8</x:v>
      </x:c>
      <x:c r="C226" s="164" t="str">
        <x:v>Current retailer product page</x:v>
      </x:c>
      <x:c r="D226" s="164" t="str">
        <x:v>Tier 2 - retailer</x:v>
      </x:c>
      <x:c r="E226" s="164" t="str">
        <x:v>USA Ajax: Ajax Super Degreaser Dish Liquid, Lemon, 14 Fluid Ounce</x:v>
      </x:c>
      <x:c r="F226" s="164" t="str">
        <x:v>SKU Library</x:v>
      </x:c>
      <x:c r="G226" s="167" t="str">
        <x:v>2026-08-31</x:v>
      </x:c>
    </x:row>
    <x:row r="227" ht="18" customHeight="1">
      <x:c r="A227" s="163" t="str">
        <x:v>SRC-0226</x:v>
      </x:c>
      <x:c r="B227" s="164" t="str">
        <x:v>https://www.amazon.com/Irish-Spring-Invisible-Antiperspirant-Deodorant/dp/B0D3CYRLXM</x:v>
      </x:c>
      <x:c r="C227" s="164" t="str">
        <x:v>Availability evidence</x:v>
      </x:c>
      <x:c r="D227" s="164" t="str">
        <x:v>Tier 1</x:v>
      </x:c>
      <x:c r="E227" s="164" t="str">
        <x:v>Market presence</x:v>
      </x:c>
      <x:c r="F227" s="164" t="str">
        <x:v>Brand Repository: USA Irish Spring; SKU Library</x:v>
      </x:c>
      <x:c r="G227" s="167" t="str">
        <x:v>2026-08-31</x:v>
      </x:c>
    </x:row>
    <x:row r="228" ht="18" customHeight="1">
      <x:c r="A228" s="163" t="str">
        <x:v>SRC-0227</x:v>
      </x:c>
      <x:c r="B228" s="164" t="str">
        <x:v>https://www.canadiantire.ca/en/pdp/murphy-oil-soap-original-concentrated-wood-floor-cleaner-950-ml-0534163p.html</x:v>
      </x:c>
      <x:c r="C228" s="164" t="str">
        <x:v>Current retailer product page</x:v>
      </x:c>
      <x:c r="D228" s="164" t="str">
        <x:v>Tier 2 - retailer</x:v>
      </x:c>
      <x:c r="E228" s="164" t="str">
        <x:v>CA Murphy Oil Soap: Murphy Oil Soap Original Concentrated Wood Floor ...</x:v>
      </x:c>
      <x:c r="F228" s="164" t="str">
        <x:v>SKU Library</x:v>
      </x:c>
      <x:c r="G228" s="167" t="str">
        <x:v>2026-08-31</x:v>
      </x:c>
    </x:row>
    <x:row r="229" ht="18" customHeight="1">
      <x:c r="A229" s="163" t="str">
        <x:v>SRC-0228</x:v>
      </x:c>
      <x:c r="B229" s="164" t="str">
        <x:v>https://www.colgate.com/en-ca/products</x:v>
      </x:c>
      <x:c r="C229" s="164" t="str">
        <x:v>Availability evidence</x:v>
      </x:c>
      <x:c r="D229" s="164" t="str">
        <x:v>Tier 1</x:v>
      </x:c>
      <x:c r="E229" s="164" t="str">
        <x:v>Market presence</x:v>
      </x:c>
      <x:c r="F229" s="164" t="str">
        <x:v>Brand Repository: CA Colgate; SKU Library</x:v>
      </x:c>
      <x:c r="G229" s="167" t="str">
        <x:v>2026-08-31</x:v>
      </x:c>
    </x:row>
    <x:row r="230" ht="18" customHeight="1">
      <x:c r="A230" s="163" t="str">
        <x:v>SRC-0229</x:v>
      </x:c>
      <x:c r="B230" s="164" t="str">
        <x:v>https://www.colgate.com/en-ca/products/prescription-only-products/colgate-prevident-plus</x:v>
      </x:c>
      <x:c r="C230" s="164" t="str">
        <x:v>Official product page</x:v>
      </x:c>
      <x:c r="D230" s="164" t="str">
        <x:v>Tier 1 - first party</x:v>
      </x:c>
      <x:c r="E230" s="164" t="str">
        <x:v>CA Colgate: Colgate® PreviDent® Plus High Fluoride Toothpaste, Spearmint</x:v>
      </x:c>
      <x:c r="F230" s="164" t="str">
        <x:v>SKU Library</x:v>
      </x:c>
      <x:c r="G230" s="167" t="str">
        <x:v>2026-08-31</x:v>
      </x:c>
    </x:row>
    <x:row r="231" ht="18" customHeight="1">
      <x:c r="A231" s="163" t="str">
        <x:v>SRC-0230</x:v>
      </x:c>
      <x:c r="B231" s="164" t="str">
        <x:v>https://www.colgate.com/en-ca/products/toothbrush/colgate-360-fresh-protect-tweens-toothbrush</x:v>
      </x:c>
      <x:c r="C231" s="164" t="str">
        <x:v>Official product page</x:v>
      </x:c>
      <x:c r="D231" s="164" t="str">
        <x:v>Tier 1 - first party</x:v>
      </x:c>
      <x:c r="E231" s="164" t="str">
        <x:v>CA Colgate: Colgate® 360® Fresh 'N Protect™ Tweens Toothbrush</x:v>
      </x:c>
      <x:c r="F231" s="164" t="str">
        <x:v>SKU Library</x:v>
      </x:c>
      <x:c r="G231" s="167" t="str">
        <x:v>2026-08-31</x:v>
      </x:c>
    </x:row>
    <x:row r="232" ht="18" customHeight="1">
      <x:c r="A232" s="163" t="str">
        <x:v>SRC-0231</x:v>
      </x:c>
      <x:c r="B232" s="164" t="str">
        <x:v>https://www.colgate.com/en-ca/products/toothbrush/colgate-optic-white-powered-toothbrush</x:v>
      </x:c>
      <x:c r="C232" s="164" t="str">
        <x:v>Official product page</x:v>
      </x:c>
      <x:c r="D232" s="164" t="str">
        <x:v>Tier 1 - first party</x:v>
      </x:c>
      <x:c r="E232" s="164" t="str">
        <x:v>CA Colgate: Colgate Optic White Adult Battery Toothbrush</x:v>
      </x:c>
      <x:c r="F232" s="164" t="str">
        <x:v>SKU Library</x:v>
      </x:c>
      <x:c r="G232" s="167" t="str">
        <x:v>2026-08-31</x:v>
      </x:c>
    </x:row>
    <x:row r="233" ht="18" customHeight="1">
      <x:c r="A233" s="163" t="str">
        <x:v>SRC-0232</x:v>
      </x:c>
      <x:c r="B233" s="164" t="str">
        <x:v>https://www.colgate.com/en-ca/products/toothbrush/colgate-total-battery-toothbrush?product_overview=</x:v>
      </x:c>
      <x:c r="C233" s="164" t="str">
        <x:v>Official product page</x:v>
      </x:c>
      <x:c r="D233" s="164" t="str">
        <x:v>Tier 1 - first party</x:v>
      </x:c>
      <x:c r="E233" s="164" t="str">
        <x:v>CA Colgate: Colgate Total Battery Powered Toothbrush, White</x:v>
      </x:c>
      <x:c r="F233" s="164" t="str">
        <x:v>SKU Library</x:v>
      </x:c>
      <x:c r="G233" s="167" t="str">
        <x:v>2026-08-31</x:v>
      </x:c>
    </x:row>
    <x:row r="234" ht="18" customHeight="1">
      <x:c r="A234" s="163" t="str">
        <x:v>SRC-0233</x:v>
      </x:c>
      <x:c r="B234" s="164" t="str">
        <x:v>https://www.colgate.com/en-ca/products/toothbrush/total-active-prevention-foaming-clean-soft-toothbrush</x:v>
      </x:c>
      <x:c r="C234" s="164" t="str">
        <x:v>Official product page</x:v>
      </x:c>
      <x:c r="D234" s="164" t="str">
        <x:v>Tier 1 - first party</x:v>
      </x:c>
      <x:c r="E234" s="164" t="str">
        <x:v>CA Colgate: Colgate Total® Active Prevention Foaming Clean Soft Toothbrush, 1 Pack</x:v>
      </x:c>
      <x:c r="F234" s="164" t="str">
        <x:v>SKU Library</x:v>
      </x:c>
      <x:c r="G234" s="167" t="str">
        <x:v>2026-08-31</x:v>
      </x:c>
    </x:row>
    <x:row r="235" ht="18" customHeight="1">
      <x:c r="A235" s="163" t="str">
        <x:v>SRC-0234</x:v>
      </x:c>
      <x:c r="B235" s="164" t="str">
        <x:v>https://www.colgate.com/en-ca/products/toothbrush/total-active-prevention-whitening-soft-toothbrush</x:v>
      </x:c>
      <x:c r="C235" s="164" t="str">
        <x:v>Official product page</x:v>
      </x:c>
      <x:c r="D235" s="164" t="str">
        <x:v>Tier 1 - first party</x:v>
      </x:c>
      <x:c r="E235" s="164" t="str">
        <x:v>CA Colgate: Colgate Total Active Prevention Soft Whitening Toothbrush, Black</x:v>
      </x:c>
      <x:c r="F235" s="164" t="str">
        <x:v>SKU Library</x:v>
      </x:c>
      <x:c r="G235" s="167" t="str">
        <x:v>2026-08-31</x:v>
      </x:c>
    </x:row>
    <x:row r="236" ht="18" customHeight="1">
      <x:c r="A236" s="163" t="str">
        <x:v>SRC-0235</x:v>
      </x:c>
      <x:c r="B236" s="164" t="str">
        <x:v>https://www.colgate.com/en-ca/products/toothpaste</x:v>
      </x:c>
      <x:c r="C236" s="164" t="str">
        <x:v>Official catalog listing</x:v>
      </x:c>
      <x:c r="D236" s="164" t="str">
        <x:v>Tier 1 - first party</x:v>
      </x:c>
      <x:c r="E236" s="164" t="str">
        <x:v>CA Colgate: Colgate Liquid Gel 2-in-1 Whitening Toothpaste and Mouthwash</x:v>
      </x:c>
      <x:c r="F236" s="164" t="str">
        <x:v>SKU Library</x:v>
      </x:c>
      <x:c r="G236" s="167" t="str">
        <x:v>2026-08-31</x:v>
      </x:c>
    </x:row>
    <x:row r="237" ht="18" customHeight="1">
      <x:c r="A237" s="163" t="str">
        <x:v>SRC-0236</x:v>
      </x:c>
      <x:c r="B237" s="164" t="str">
        <x:v>https://www.colgate.com/en-ca/products/toothpaste/cc-cavity-protection</x:v>
      </x:c>
      <x:c r="C237" s="164" t="str">
        <x:v>Official product page</x:v>
      </x:c>
      <x:c r="D237" s="164" t="str">
        <x:v>Tier 1 - first party</x:v>
      </x:c>
      <x:c r="E237" s="164" t="str">
        <x:v>CA Colgate: Colgate® Cavity Protection Fluoride Toothpaste</x:v>
      </x:c>
      <x:c r="F237" s="164" t="str">
        <x:v>SKU Library</x:v>
      </x:c>
      <x:c r="G237" s="167" t="str">
        <x:v>2026-08-31</x:v>
      </x:c>
    </x:row>
    <x:row r="238" ht="18" customHeight="1">
      <x:c r="A238" s="163" t="str">
        <x:v>SRC-0237</x:v>
      </x:c>
      <x:c r="B238" s="164" t="str">
        <x:v>https://www.colgate.com/en-ca/products/toothpaste/colgate-max-fresh-fruit-peach-cream-toothpaste?product_overview=</x:v>
      </x:c>
      <x:c r="C238" s="164" t="str">
        <x:v>Official product page</x:v>
      </x:c>
      <x:c r="D238" s="164" t="str">
        <x:v>Tier 1 - first party</x:v>
      </x:c>
      <x:c r="E238" s="164" t="str">
        <x:v>CA Colgate: Colgate® Max Fresh® Polar Peach Toothpaste</x:v>
      </x:c>
      <x:c r="F238" s="164" t="str">
        <x:v>SKU Library</x:v>
      </x:c>
      <x:c r="G238" s="167" t="str">
        <x:v>2026-08-31</x:v>
      </x:c>
    </x:row>
    <x:row r="239" ht="18" customHeight="1">
      <x:c r="A239" s="163" t="str">
        <x:v>SRC-0238</x:v>
      </x:c>
      <x:c r="B239" s="164" t="str">
        <x:v>https://www.colgate.com/en-ca/products/toothpaste/colgate-max-fresh-fruit-pineapple-coconut-toothpaste?product_overview=</x:v>
      </x:c>
      <x:c r="C239" s="164" t="str">
        <x:v>Official product page</x:v>
      </x:c>
      <x:c r="D239" s="164" t="str">
        <x:v>Tier 1 - first party</x:v>
      </x:c>
      <x:c r="E239" s="164" t="str">
        <x:v>CA Colgate: Colgate® Max Fresh® Pineapple Coconut Crush Toothpaste</x:v>
      </x:c>
      <x:c r="F239" s="164" t="str">
        <x:v>SKU Library</x:v>
      </x:c>
      <x:c r="G239" s="167" t="str">
        <x:v>2026-08-31</x:v>
      </x:c>
    </x:row>
    <x:row r="240" ht="18" customHeight="1">
      <x:c r="A240" s="163" t="str">
        <x:v>SRC-0239</x:v>
      </x:c>
      <x:c r="B240" s="164" t="str">
        <x:v>https://www.colgate.com/en-ca/products/toothpaste/colgate-max-fresh-fruit-watermelon-toothpaste</x:v>
      </x:c>
      <x:c r="C240" s="164" t="str">
        <x:v>Official product page</x:v>
      </x:c>
      <x:c r="D240" s="164" t="str">
        <x:v>Tier 1 - first party</x:v>
      </x:c>
      <x:c r="E240" s="164" t="str">
        <x:v>CA Colgate: Colgate® Max Fresh® Watermelon Blast Toothpaste</x:v>
      </x:c>
      <x:c r="F240" s="164" t="str">
        <x:v>SKU Library</x:v>
      </x:c>
      <x:c r="G240" s="167" t="str">
        <x:v>2026-08-31</x:v>
      </x:c>
    </x:row>
    <x:row r="241" ht="18" customHeight="1">
      <x:c r="A241" s="163" t="str">
        <x:v>SRC-0240</x:v>
      </x:c>
      <x:c r="B241" s="164" t="str">
        <x:v>https://www.colgate.com/en-ca/products/toothpaste/colgate-maxfresh-knockout</x:v>
      </x:c>
      <x:c r="C241" s="164" t="str">
        <x:v>Official product page</x:v>
      </x:c>
      <x:c r="D241" s="164" t="str">
        <x:v>Tier 1 - first party</x:v>
      </x:c>
      <x:c r="E241" s="164" t="str">
        <x:v>CA Colgate: Colgate® Max Fresh® Knockout Mint Toothpaste</x:v>
      </x:c>
      <x:c r="F241" s="164" t="str">
        <x:v>SKU Library</x:v>
      </x:c>
      <x:c r="G241" s="167" t="str">
        <x:v>2026-08-31</x:v>
      </x:c>
    </x:row>
    <x:row r="242" ht="18" customHeight="1">
      <x:c r="A242" s="163" t="str">
        <x:v>SRC-0241</x:v>
      </x:c>
      <x:c r="B242" s="164" t="str">
        <x:v>https://www.colgate.com/en-ca/products/toothpaste/colgate-maxfresh-liquid-gel</x:v>
      </x:c>
      <x:c r="C242" s="164" t="str">
        <x:v>Official product page</x:v>
      </x:c>
      <x:c r="D242" s="164" t="str">
        <x:v>Tier 1 - first party</x:v>
      </x:c>
      <x:c r="E242" s="164" t="str">
        <x:v>CA Colgate: Colgate® Max Fresh® Liquid Gel Toothpaste, Cool Mint</x:v>
      </x:c>
      <x:c r="F242" s="164" t="str">
        <x:v>SKU Library</x:v>
      </x:c>
      <x:c r="G242" s="167" t="str">
        <x:v>2026-08-31</x:v>
      </x:c>
    </x:row>
    <x:row r="243" ht="18" customHeight="1">
      <x:c r="A243" s="163" t="str">
        <x:v>SRC-0242</x:v>
      </x:c>
      <x:c r="B243" s="164" t="str">
        <x:v>https://www.colgate.com/en-ca/products/toothpaste/colgate-total-active-prevention-plus-sensitive-toothpaste</x:v>
      </x:c>
      <x:c r="C243" s="164" t="str">
        <x:v>Official product page</x:v>
      </x:c>
      <x:c r="D243" s="164" t="str">
        <x:v>Tier 1 - first party</x:v>
      </x:c>
      <x:c r="E243" s="164" t="str">
        <x:v>CA Colgate: Colgate Total® Active Prevention Plus Sensitive and Whitening Toothpaste, Mint</x:v>
      </x:c>
      <x:c r="F243" s="164" t="str">
        <x:v>SKU Library</x:v>
      </x:c>
      <x:c r="G243" s="167" t="str">
        <x:v>2026-08-31</x:v>
      </x:c>
    </x:row>
    <x:row r="244" ht="18" customHeight="1">
      <x:c r="A244" s="163" t="str">
        <x:v>SRC-0243</x:v>
      </x:c>
      <x:c r="B244" s="164" t="str">
        <x:v>https://www.colgate.com/en-ca/products/toothpaste/colgate-total-clean-mint</x:v>
      </x:c>
      <x:c r="C244" s="164" t="str">
        <x:v>Official product page</x:v>
      </x:c>
      <x:c r="D244" s="164" t="str">
        <x:v>Tier 1 - first party</x:v>
      </x:c>
      <x:c r="E244" s="164" t="str">
        <x:v>CA Colgate: Colgate Total Active Prevention Clean Mint Toothpaste</x:v>
      </x:c>
      <x:c r="F244" s="164" t="str">
        <x:v>SKU Library</x:v>
      </x:c>
      <x:c r="G244" s="167" t="str">
        <x:v>2026-08-31</x:v>
      </x:c>
    </x:row>
    <x:row r="245" ht="18" customHeight="1">
      <x:c r="A245" s="163" t="str">
        <x:v>SRC-0244</x:v>
      </x:c>
      <x:c r="B245" s="164" t="str">
        <x:v>https://www.colgate.com/en-ca/products/toothpaste/colgate-total-plus-enamel-strength</x:v>
      </x:c>
      <x:c r="C245" s="164" t="str">
        <x:v>Official product page</x:v>
      </x:c>
      <x:c r="D245" s="164" t="str">
        <x:v>Tier 1 - first party</x:v>
      </x:c>
      <x:c r="E245" s="164" t="str">
        <x:v>CA Colgate: Colgate Total Active Prevention Plus Enamel Toothpaste, Mint Flavour</x:v>
      </x:c>
      <x:c r="F245" s="164" t="str">
        <x:v>SKU Library</x:v>
      </x:c>
      <x:c r="G245" s="167" t="str">
        <x:v>2026-08-31</x:v>
      </x:c>
    </x:row>
    <x:row r="246" ht="18" customHeight="1">
      <x:c r="A246" s="163" t="str">
        <x:v>SRC-0245</x:v>
      </x:c>
      <x:c r="B246" s="164" t="str">
        <x:v>https://www.colgate.com/en-ca/products/toothpaste/colgate-total-plus-gum-care</x:v>
      </x:c>
      <x:c r="C246" s="164" t="str">
        <x:v>Official product page</x:v>
      </x:c>
      <x:c r="D246" s="164" t="str">
        <x:v>Tier 1 - first party</x:v>
      </x:c>
      <x:c r="E246" s="164" t="str">
        <x:v>CA Colgate: Colgate Total® Active Prevention Plus Gum Care Toothpaste, Mint Flavour</x:v>
      </x:c>
      <x:c r="F246" s="164" t="str">
        <x:v>SKU Library</x:v>
      </x:c>
      <x:c r="G246" s="167" t="str">
        <x:v>2026-08-31</x:v>
      </x:c>
    </x:row>
    <x:row r="247" ht="18" customHeight="1">
      <x:c r="A247" s="163" t="str">
        <x:v>SRC-0246</x:v>
      </x:c>
      <x:c r="B247" s="164" t="str">
        <x:v>https://www.colgate.com/en-ca/products/toothpaste/colgate-total-plus-whitening</x:v>
      </x:c>
      <x:c r="C247" s="164" t="str">
        <x:v>Official product page</x:v>
      </x:c>
      <x:c r="D247" s="164" t="str">
        <x:v>Tier 1 - first party</x:v>
      </x:c>
      <x:c r="E247" s="164" t="str">
        <x:v>CA Colgate: Colgate Total Active Prevention Plus Stain Removal Whitening Toothpaste, Mint</x:v>
      </x:c>
      <x:c r="F247" s="164" t="str">
        <x:v>SKU Library</x:v>
      </x:c>
      <x:c r="G247" s="167" t="str">
        <x:v>2026-08-31</x:v>
      </x:c>
    </x:row>
    <x:row r="248" ht="18" customHeight="1">
      <x:c r="A248" s="163" t="str">
        <x:v>SRC-0247</x:v>
      </x:c>
      <x:c r="B248" s="164" t="str">
        <x:v>https://www.colgate.com/en-ca/products/toothpaste/colgate-total-whitening</x:v>
      </x:c>
      <x:c r="C248" s="164" t="str">
        <x:v>Official product page</x:v>
      </x:c>
      <x:c r="D248" s="164" t="str">
        <x:v>Tier 1 - first party</x:v>
      </x:c>
      <x:c r="E248" s="164" t="str">
        <x:v>CA Colgate: Colgate Total Active Prevention Whitening Toothpaste Gel, Mint</x:v>
      </x:c>
      <x:c r="F248" s="164" t="str">
        <x:v>SKU Library</x:v>
      </x:c>
      <x:c r="G248" s="167" t="str">
        <x:v>2026-08-31</x:v>
      </x:c>
    </x:row>
    <x:row r="249" ht="18" customHeight="1">
      <x:c r="A249" s="163" t="str">
        <x:v>SRC-0248</x:v>
      </x:c>
      <x:c r="B249" s="164" t="str">
        <x:v>https://www.colgate.com/en-ca/products/toothpaste/optic-white-advanced</x:v>
      </x:c>
      <x:c r="C249" s="164" t="str">
        <x:v>Official product page</x:v>
      </x:c>
      <x:c r="D249" s="164" t="str">
        <x:v>Tier 1 - first party</x:v>
      </x:c>
      <x:c r="E249" s="164" t="str">
        <x:v>CA Colgate: Colgate® Optic White® Advanced Sparkling White Toothpaste</x:v>
      </x:c>
      <x:c r="F249" s="164" t="str">
        <x:v>SKU Library</x:v>
      </x:c>
      <x:c r="G249" s="167" t="str">
        <x:v>2026-08-31</x:v>
      </x:c>
    </x:row>
    <x:row r="250" ht="18" customHeight="1">
      <x:c r="A250" s="163" t="str">
        <x:v>SRC-0249</x:v>
      </x:c>
      <x:c r="B250" s="164" t="str">
        <x:v>https://www.colgate.com/en-us/products</x:v>
      </x:c>
      <x:c r="C250" s="164" t="str">
        <x:v>Official catalog listing</x:v>
      </x:c>
      <x:c r="D250" s="164" t="str">
        <x:v>Tier 1 - first party</x:v>
      </x:c>
      <x:c r="E250" s="164" t="str">
        <x:v>USA Colgate: Colgate 2-in-1 Whitening Toothpaste Gel and Mouthwash, Icy Blast</x:v>
      </x:c>
      <x:c r="F250" s="164" t="str">
        <x:v>SKU Library</x:v>
      </x:c>
      <x:c r="G250" s="167" t="str">
        <x:v>2026-08-31</x:v>
      </x:c>
    </x:row>
    <x:row r="251" ht="18" customHeight="1">
      <x:c r="A251" s="163" t="str">
        <x:v>SRC-0250</x:v>
      </x:c>
      <x:c r="B251" s="164" t="str">
        <x:v>https://www.colgate.com/en-us/products/prescription-only-products</x:v>
      </x:c>
      <x:c r="C251" s="164" t="str">
        <x:v>Official catalog listing</x:v>
      </x:c>
      <x:c r="D251" s="164" t="str">
        <x:v>Tier 1 - first party</x:v>
      </x:c>
      <x:c r="E251" s="164" t="str">
        <x:v>USA Colgate: Colgate® PreviDent® Rinse (0.2% Neutral Sodium Fluoride), Mint</x:v>
      </x:c>
      <x:c r="F251" s="164" t="str">
        <x:v>SKU Library</x:v>
      </x:c>
      <x:c r="G251" s="167" t="str">
        <x:v>2026-08-31</x:v>
      </x:c>
    </x:row>
    <x:row r="252" ht="18" customHeight="1">
      <x:c r="A252" s="163" t="str">
        <x:v>SRC-0251</x:v>
      </x:c>
      <x:c r="B252" s="164" t="str">
        <x:v>https://www.colgate.com/en-us/products/toothbrush/360-advanced-floss-tip-medium-2pack?product_overview=</x:v>
      </x:c>
      <x:c r="C252" s="164" t="str">
        <x:v>Official product page</x:v>
      </x:c>
      <x:c r="D252" s="164" t="str">
        <x:v>Tier 1 - first party</x:v>
      </x:c>
      <x:c r="E252" s="164" t="str">
        <x:v>USA Colgate: Colgate 360 Advanced Floss Tip Medium Bristles toothbrush for adults</x:v>
      </x:c>
      <x:c r="F252" s="164" t="str">
        <x:v>SKU Library</x:v>
      </x:c>
      <x:c r="G252" s="167" t="str">
        <x:v>2026-08-31</x:v>
      </x:c>
    </x:row>
    <x:row r="253" ht="18" customHeight="1">
      <x:c r="A253" s="163" t="str">
        <x:v>SRC-0252</x:v>
      </x:c>
      <x:c r="B253" s="164" t="str">
        <x:v>https://www.colgate.com/en-us/products/toothbrush/mf-wisp?bvstate=pg%3A8%2Fct%3Ar&amp;pr_rd_page=2</x:v>
      </x:c>
      <x:c r="C253" s="164" t="str">
        <x:v>Official product page</x:v>
      </x:c>
      <x:c r="D253" s="164" t="str">
        <x:v>Tier 1 - first party</x:v>
      </x:c>
      <x:c r="E253" s="164" t="str">
        <x:v>USA Colgate: Colgate Max Fresh Wisp Disposable Mini Travel Toothbrushes, Peppermint</x:v>
      </x:c>
      <x:c r="F253" s="164" t="str">
        <x:v>SKU Library</x:v>
      </x:c>
      <x:c r="G253" s="167" t="str">
        <x:v>2026-08-31</x:v>
      </x:c>
    </x:row>
    <x:row r="254" ht="18" customHeight="1">
      <x:c r="A254" s="163" t="str">
        <x:v>SRC-0253</x:v>
      </x:c>
      <x:c r="B254" s="164" t="str">
        <x:v>https://www.colgate.com/en-us/products/toothpaste</x:v>
      </x:c>
      <x:c r="C254" s="164" t="str">
        <x:v>Official catalog listing</x:v>
      </x:c>
      <x:c r="D254" s="164" t="str">
        <x:v>Tier 1 - first party</x:v>
      </x:c>
      <x:c r="E254" s="164" t="str">
        <x:v>USA Colgate: Colgate Baking Soda and Peroxide Whitening Toothpaste</x:v>
      </x:c>
      <x:c r="F254" s="164" t="str">
        <x:v>SKU Library</x:v>
      </x:c>
      <x:c r="G254" s="167" t="str">
        <x:v>2026-08-31</x:v>
      </x:c>
    </x:row>
    <x:row r="255" ht="18" customHeight="1">
      <x:c r="A255" s="163" t="str">
        <x:v>SRC-0254</x:v>
      </x:c>
      <x:c r="B255" s="164" t="str">
        <x:v>https://www.colgate.com/en-us/products/toothpaste/2-in-1-icy-blast</x:v>
      </x:c>
      <x:c r="C255" s="164" t="str">
        <x:v>Availability evidence</x:v>
      </x:c>
      <x:c r="D255" s="164" t="str">
        <x:v>Tier 1</x:v>
      </x:c>
      <x:c r="E255" s="164" t="str">
        <x:v>Market presence</x:v>
      </x:c>
      <x:c r="F255" s="164" t="str">
        <x:v>Brand Repository: USA Colgate; SKU Library</x:v>
      </x:c>
      <x:c r="G255" s="167" t="str">
        <x:v>2026-08-31</x:v>
      </x:c>
    </x:row>
    <x:row r="256" ht="18" customHeight="1">
      <x:c r="A256" s="163" t="str">
        <x:v>SRC-0255</x:v>
      </x:c>
      <x:c r="B256" s="164" t="str">
        <x:v>https://www.colgate.com/en-us/products/toothpaste/cc-cavity-protection</x:v>
      </x:c>
      <x:c r="C256" s="164" t="str">
        <x:v>Official product page</x:v>
      </x:c>
      <x:c r="D256" s="164" t="str">
        <x:v>Tier 1 - first party</x:v>
      </x:c>
      <x:c r="E256" s="164" t="str">
        <x:v>USA Colgate: Colgate Cavity Protection Toothpaste with Fluoride, Great Regular Flavor - 6.0 Ounce</x:v>
      </x:c>
      <x:c r="F256" s="164" t="str">
        <x:v>SKU Library</x:v>
      </x:c>
      <x:c r="G256" s="167" t="str">
        <x:v>2026-08-31</x:v>
      </x:c>
    </x:row>
    <x:row r="257" ht="18" customHeight="1">
      <x:c r="A257" s="163" t="str">
        <x:v>SRC-0256</x:v>
      </x:c>
      <x:c r="B257" s="164" t="str">
        <x:v>https://www.colgate.com/en-us/products/toothpaste/colgate-baking-soda-peroxide-frosty-mint</x:v>
      </x:c>
      <x:c r="C257" s="164" t="str">
        <x:v>Official product page</x:v>
      </x:c>
      <x:c r="D257" s="164" t="str">
        <x:v>Tier 1 - first party</x:v>
      </x:c>
      <x:c r="E257" s="164" t="str">
        <x:v>USA Colgate: Colgate Baking Soda and Peroxide Whitening Toothpaste, Frosty Mint</x:v>
      </x:c>
      <x:c r="F257" s="164" t="str">
        <x:v>SKU Library</x:v>
      </x:c>
      <x:c r="G257" s="167" t="str">
        <x:v>2026-08-31</x:v>
      </x:c>
    </x:row>
    <x:row r="258" ht="18" customHeight="1">
      <x:c r="A258" s="163" t="str">
        <x:v>SRC-0257</x:v>
      </x:c>
      <x:c r="B258" s="164" t="str">
        <x:v>https://www.colgate.com/en-us/products/toothpaste/colgate-max-fresh-pineapple-coconut-crunch-toothpaste?product_overview=</x:v>
      </x:c>
      <x:c r="C258" s="164" t="str">
        <x:v>Official product page</x:v>
      </x:c>
      <x:c r="D258" s="164" t="str">
        <x:v>Tier 1 - first party</x:v>
      </x:c>
      <x:c r="E258" s="164" t="str">
        <x:v>USA Colgate: Colgate Max Fresh Anticavity Fluoride Toothpaste, Pineapple Coconut Crush with Mint</x:v>
      </x:c>
      <x:c r="F258" s="164" t="str">
        <x:v>SKU Library</x:v>
      </x:c>
      <x:c r="G258" s="167" t="str">
        <x:v>2026-08-31</x:v>
      </x:c>
    </x:row>
    <x:row r="259" ht="18" customHeight="1">
      <x:c r="A259" s="163" t="str">
        <x:v>SRC-0258</x:v>
      </x:c>
      <x:c r="B259" s="164" t="str">
        <x:v>https://www.colgate.com/en-us/products/toothpaste/colgate-maxfresh-knockout</x:v>
      </x:c>
      <x:c r="C259" s="164" t="str">
        <x:v>Official product page</x:v>
      </x:c>
      <x:c r="D259" s="164" t="str">
        <x:v>Tier 1 - first party</x:v>
      </x:c>
      <x:c r="E259" s="164" t="str">
        <x:v>USA Colgate: Colgate Max Fresh Knockout with Toothpaste with Mini Breath Strips, Mint Toothpaste for Bad Breath</x:v>
      </x:c>
      <x:c r="F259" s="164" t="str">
        <x:v>SKU Library</x:v>
      </x:c>
      <x:c r="G259" s="167" t="str">
        <x:v>2026-08-31</x:v>
      </x:c>
    </x:row>
    <x:row r="260" ht="18" customHeight="1">
      <x:c r="A260" s="163" t="str">
        <x:v>SRC-0259</x:v>
      </x:c>
      <x:c r="B260" s="164" t="str">
        <x:v>https://www.colgate.com/en-us/products/toothpaste/colgate-optic-white-stain-fighter-clean-mint-paste-toothpaste</x:v>
      </x:c>
      <x:c r="C260" s="164" t="str">
        <x:v>Official product page</x:v>
      </x:c>
      <x:c r="D260" s="164" t="str">
        <x:v>Tier 1 - first party</x:v>
      </x:c>
      <x:c r="E260" s="164" t="str">
        <x:v>USA Colgate: Colgate Optic White Stain Fighter Clean Mint Paste Teeth Whitening Toothpaste</x:v>
      </x:c>
      <x:c r="F260" s="164" t="str">
        <x:v>SKU Library</x:v>
      </x:c>
      <x:c r="G260" s="167" t="str">
        <x:v>2026-08-31</x:v>
      </x:c>
    </x:row>
    <x:row r="261" ht="18" customHeight="1">
      <x:c r="A261" s="163" t="str">
        <x:v>SRC-0260</x:v>
      </x:c>
      <x:c r="B261" s="164" t="str">
        <x:v>https://www.colgate.com/en-us/products/toothpaste/colgate-optic-white-stain-fighter-fresh-mint-gel-toothpaste?product_overview=</x:v>
      </x:c>
      <x:c r="C261" s="164" t="str">
        <x:v>Official product page</x:v>
      </x:c>
      <x:c r="D261" s="164" t="str">
        <x:v>Tier 1 - first party</x:v>
      </x:c>
      <x:c r="E261" s="164" t="str">
        <x:v>USA Colgate: Colgate Optic White Stain Fighter Fresh Mint Teeth Whitening Toothpaste Gel</x:v>
      </x:c>
      <x:c r="F261" s="164" t="str">
        <x:v>SKU Library</x:v>
      </x:c>
      <x:c r="G261" s="167" t="str">
        <x:v>2026-08-31</x:v>
      </x:c>
    </x:row>
    <x:row r="262" ht="18" customHeight="1">
      <x:c r="A262" s="163" t="str">
        <x:v>SRC-0261</x:v>
      </x:c>
      <x:c r="B262" s="164" t="str">
        <x:v>https://www.colgate.com/en-us/products/toothpaste/colgate-total-fresh-mint?product_overview=</x:v>
      </x:c>
      <x:c r="C262" s="164" t="str">
        <x:v>Official product page</x:v>
      </x:c>
      <x:c r="D262" s="164" t="str">
        <x:v>Tier 1 - first party</x:v>
      </x:c>
      <x:c r="E262" s="164" t="str">
        <x:v>USA Colgate: Colgate Total Active Prevention Fresh Mint Toothpaste</x:v>
      </x:c>
      <x:c r="F262" s="164" t="str">
        <x:v>SKU Library</x:v>
      </x:c>
      <x:c r="G262" s="167" t="str">
        <x:v>2026-08-31</x:v>
      </x:c>
    </x:row>
    <x:row r="263" ht="18" customHeight="1">
      <x:c r="A263" s="163" t="str">
        <x:v>SRC-0262</x:v>
      </x:c>
      <x:c r="B263" s="164" t="str">
        <x:v>https://www.colgate.com/en-us/products/toothpaste/optic-white-advanced</x:v>
      </x:c>
      <x:c r="C263" s="164" t="str">
        <x:v>Official product page</x:v>
      </x:c>
      <x:c r="D263" s="164" t="str">
        <x:v>Tier 1 - first party</x:v>
      </x:c>
      <x:c r="E263" s="164" t="str">
        <x:v>USA Colgate: Colgate® Optic White® Advanced Teeth Whitening ...</x:v>
      </x:c>
      <x:c r="F263" s="164" t="str">
        <x:v>SKU Library</x:v>
      </x:c>
      <x:c r="G263" s="167" t="str">
        <x:v>2026-08-31</x:v>
      </x:c>
    </x:row>
    <x:row r="264" ht="18" customHeight="1">
      <x:c r="A264" s="163" t="str">
        <x:v>SRC-0263</x:v>
      </x:c>
      <x:c r="B264" s="164" t="str">
        <x:v>https://www.colgate.com/en-us/products/toothpaste/optic-white-advanced-toothpaste-icy-fresh?product_overview=</x:v>
      </x:c>
      <x:c r="C264" s="164" t="str">
        <x:v>Official product page</x:v>
      </x:c>
      <x:c r="D264" s="164" t="str">
        <x:v>Tier 1 - first party</x:v>
      </x:c>
      <x:c r="E264" s="164" t="str">
        <x:v>USA Colgate: Colgate Optic White Advanced Hydrogen Peroxide Toothpaste, Icy Fresh</x:v>
      </x:c>
      <x:c r="F264" s="164" t="str">
        <x:v>SKU Library</x:v>
      </x:c>
      <x:c r="G264" s="167" t="str">
        <x:v>2026-08-31</x:v>
      </x:c>
    </x:row>
    <x:row r="265" ht="18" customHeight="1">
      <x:c r="A265" s="163" t="str">
        <x:v>SRC-0264</x:v>
      </x:c>
      <x:c r="B265" s="164" t="str">
        <x:v>https://www.colgate.com/en-us/products/toothpaste/optic-white-advanced-toothpaste-oxigenating-white</x:v>
      </x:c>
      <x:c r="C265" s="164" t="str">
        <x:v>Official product page</x:v>
      </x:c>
      <x:c r="D265" s="164" t="str">
        <x:v>Tier 1 - first party</x:v>
      </x:c>
      <x:c r="E265" s="164" t="str">
        <x:v>USA Colgate: Colgate Optic White Advanced Teeth Whitening Toothpaste, Oxygenating White</x:v>
      </x:c>
      <x:c r="F265" s="164" t="str">
        <x:v>SKU Library</x:v>
      </x:c>
      <x:c r="G265" s="167" t="str">
        <x:v>2026-08-31</x:v>
      </x:c>
    </x:row>
    <x:row r="266" ht="18" customHeight="1">
      <x:c r="A266" s="163" t="str">
        <x:v>SRC-0265</x:v>
      </x:c>
      <x:c r="B266" s="164" t="str">
        <x:v>https://www.colgate.com/en-us/products/whitening-products/colgate-optic-white-adult-advanced-kit?product_overview=</x:v>
      </x:c>
      <x:c r="C266" s="164" t="str">
        <x:v>Official product page</x:v>
      </x:c>
      <x:c r="D266" s="164" t="str">
        <x:v>Tier 1 - first party</x:v>
      </x:c>
      <x:c r="E266" s="164" t="str">
        <x:v>USA Colgate: Colgate Optic White Advanced Teeth Whitening Toothpaste and Adult Whitening Toothbrush Kit</x:v>
      </x:c>
      <x:c r="F266" s="164" t="str">
        <x:v>SKU Library</x:v>
      </x:c>
      <x:c r="G266" s="167" t="str">
        <x:v>2026-08-31</x:v>
      </x:c>
    </x:row>
    <x:row r="267" ht="18" customHeight="1">
      <x:c r="A267" s="163" t="str">
        <x:v>SRC-0266</x:v>
      </x:c>
      <x:c r="B267" s="164" t="str">
        <x:v>https://www.colgatepalmolive.ca/en-ca/brands</x:v>
      </x:c>
      <x:c r="C267" s="164" t="str">
        <x:v>Official Canada corporate brand page</x:v>
      </x:c>
      <x:c r="D267" s="164" t="str">
        <x:v>Tier 1 - first party</x:v>
      </x:c>
      <x:c r="E267" s="164" t="str">
        <x:v>Explicit Canada portfolio list</x:v>
      </x:c>
      <x:c r="F267" s="164" t="str">
        <x:v>Coverage &amp; Gaps; Brand Repository: CA Fleecy</x:v>
      </x:c>
      <x:c r="G267" s="167" t="str">
        <x:v>2026-08-31</x:v>
      </x:c>
    </x:row>
    <x:row r="268" ht="18" customHeight="1">
      <x:c r="A268" s="163" t="str">
        <x:v>SRC-0267</x:v>
      </x:c>
      <x:c r="B268" s="164" t="str">
        <x:v>https://www.colgatepalmolive.ca/en-ca/brands/soft-soap</x:v>
      </x:c>
      <x:c r="C268" s="164" t="str">
        <x:v>Availability evidence</x:v>
      </x:c>
      <x:c r="D268" s="164" t="str">
        <x:v>Tier 1</x:v>
      </x:c>
      <x:c r="E268" s="164" t="str">
        <x:v>Market presence</x:v>
      </x:c>
      <x:c r="F268" s="164" t="str">
        <x:v>Brand Repository: CA Palmolive; SKU Library</x:v>
      </x:c>
      <x:c r="G268" s="167" t="str">
        <x:v>2026-08-31</x:v>
      </x:c>
    </x:row>
    <x:row r="269" ht="18" customHeight="1">
      <x:c r="A269" s="163" t="str">
        <x:v>SRC-0268</x:v>
      </x:c>
      <x:c r="B269" s="164" t="str">
        <x:v>https://www.colgatepalmolive.ca/en-ca/local-brands/lady-speed-stick/products/fresh-infusions-fruity-melon</x:v>
      </x:c>
      <x:c r="C269" s="164" t="str">
        <x:v>Availability evidence</x:v>
      </x:c>
      <x:c r="D269" s="164" t="str">
        <x:v>Tier 1</x:v>
      </x:c>
      <x:c r="E269" s="164" t="str">
        <x:v>Market presence</x:v>
      </x:c>
      <x:c r="F269" s="164" t="str">
        <x:v>Brand Repository: CA Lady Speed Stick; SKU Library</x:v>
      </x:c>
      <x:c r="G269" s="167" t="str">
        <x:v>2026-08-31</x:v>
      </x:c>
    </x:row>
    <x:row r="270" ht="18" customHeight="1">
      <x:c r="A270" s="163" t="str">
        <x:v>SRC-0269</x:v>
      </x:c>
      <x:c r="B270" s="164" t="str">
        <x:v>https://www.colgatepalmolive.com/en-us/brands</x:v>
      </x:c>
      <x:c r="C270" s="164" t="str">
        <x:v>Official corporate brand page</x:v>
      </x:c>
      <x:c r="D270" s="164" t="str">
        <x:v>Tier 1 - first party</x:v>
      </x:c>
      <x:c r="E270" s="164" t="str">
        <x:v>Corporate portfolio candidates</x:v>
      </x:c>
      <x:c r="F270" s="164" t="str">
        <x:v>Coverage &amp; Gaps</x:v>
      </x:c>
      <x:c r="G270" s="167" t="str">
        <x:v>2026-08-31</x:v>
      </x:c>
    </x:row>
    <x:row r="271" ht="18" customHeight="1">
      <x:c r="A271" s="163" t="str">
        <x:v>SRC-0270</x:v>
      </x:c>
      <x:c r="B271" s="164" t="str">
        <x:v>https://www.colgatepalmolive.com/en-us/innovation/skin-health</x:v>
      </x:c>
      <x:c r="C271" s="164" t="str">
        <x:v>Official brand/corporate page</x:v>
      </x:c>
      <x:c r="D271" s="164" t="str">
        <x:v>Tier 1 - first party</x:v>
      </x:c>
      <x:c r="E271" s="164" t="str">
        <x:v>Positioning, assets and innovation themes</x:v>
      </x:c>
      <x:c r="F271" s="164" t="str">
        <x:v>Brand Repository: USA EltaMD; Brand Repository: CA EltaMD</x:v>
      </x:c>
      <x:c r="G271" s="167" t="str">
        <x:v>2026-08-31</x:v>
      </x:c>
    </x:row>
    <x:row r="272" ht="18" customHeight="1">
      <x:c r="A272" s="163" t="str">
        <x:v>SRC-0271</x:v>
      </x:c>
      <x:c r="B272" s="164" t="str">
        <x:v>https://www.colgatepalmolive.com/en-us/smartlabel/35000981967</x:v>
      </x:c>
      <x:c r="C272" s="164" t="str">
        <x:v>Official product page</x:v>
      </x:c>
      <x:c r="D272" s="164" t="str">
        <x:v>Tier 1 - first party</x:v>
      </x:c>
      <x:c r="E272" s="164" t="str">
        <x:v>USA Palmolive: Softsoap Deeply Moisturizing Liquid Hand Soap Pump, Warm Vanilla &amp; Coconut Milk - 11.25oz Fluid Ounce</x:v>
      </x:c>
      <x:c r="F272" s="164" t="str">
        <x:v>SKU Library</x:v>
      </x:c>
      <x:c r="G272" s="167" t="str">
        <x:v>2026-08-31</x:v>
      </x:c>
    </x:row>
    <x:row r="273" ht="18" customHeight="1">
      <x:c r="A273" s="163" t="str">
        <x:v>SRC-0272</x:v>
      </x:c>
      <x:c r="B273" s="164" t="str">
        <x:v>https://www.colgatepalmolive.com/en-us/smartlabel/35000982407</x:v>
      </x:c>
      <x:c r="C273" s="164" t="str">
        <x:v>Official product page</x:v>
      </x:c>
      <x:c r="D273" s="164" t="str">
        <x:v>Tier 1 - first party</x:v>
      </x:c>
      <x:c r="E273" s="164" t="str">
        <x:v>USA Palmolive: Softsoap Hydrating Liquid Hand Soap, Coconut &amp; Hibiscus - 11.25 Fluid Ounce</x:v>
      </x:c>
      <x:c r="F273" s="164" t="str">
        <x:v>SKU Library</x:v>
      </x:c>
      <x:c r="G273" s="167" t="str">
        <x:v>2026-08-31</x:v>
      </x:c>
    </x:row>
    <x:row r="274" ht="18" customHeight="1">
      <x:c r="A274" s="163" t="str">
        <x:v>SRC-0273</x:v>
      </x:c>
      <x:c r="B274" s="164" t="str">
        <x:v>https://www.dermstore.com/c/brands/eltamd/</x:v>
      </x:c>
      <x:c r="C274" s="164" t="str">
        <x:v>Availability evidence</x:v>
      </x:c>
      <x:c r="D274" s="164" t="str">
        <x:v>Tier 1</x:v>
      </x:c>
      <x:c r="E274" s="164" t="str">
        <x:v>Market presence</x:v>
      </x:c>
      <x:c r="F274" s="164" t="str">
        <x:v>Brand Repository: USA EltaMD; SKU Library</x:v>
      </x:c>
      <x:c r="G274" s="167" t="str">
        <x:v>2026-08-31</x:v>
      </x:c>
    </x:row>
    <x:row r="275" ht="18" customHeight="1">
      <x:c r="A275" s="163" t="str">
        <x:v>SRC-0274</x:v>
      </x:c>
      <x:c r="B275" s="164" t="str">
        <x:v>https://www.dermstore.com/p/eltamd-uv-clear-broad-spectrum-spf46-48g/11370303/</x:v>
      </x:c>
      <x:c r="C275" s="164" t="str">
        <x:v>Current retailer product page</x:v>
      </x:c>
      <x:c r="D275" s="164" t="str">
        <x:v>Tier 2 - retailer</x:v>
      </x:c>
      <x:c r="E275" s="164" t="str">
        <x:v>USA EltaMD: EltaMD UV Clear Broad-Spectrum SPF 46 (1.7 fl. oz.)</x:v>
      </x:c>
      <x:c r="F275" s="164" t="str">
        <x:v>SKU Library</x:v>
      </x:c>
      <x:c r="G275" s="167" t="str">
        <x:v>2026-08-31</x:v>
      </x:c>
    </x:row>
    <x:row r="276" ht="18" customHeight="1">
      <x:c r="A276" s="163" t="str">
        <x:v>SRC-0275</x:v>
      </x:c>
      <x:c r="B276" s="164" t="str">
        <x:v>https://www.fabuloso.com/cleaning-tips-and-tricks/take-kitchen-cabinets-from-drab-to-fab</x:v>
      </x:c>
      <x:c r="C276" s="164" t="str">
        <x:v>Official product page</x:v>
      </x:c>
      <x:c r="D276" s="164" t="str">
        <x:v>Tier 1 - first party</x:v>
      </x:c>
      <x:c r="E276" s="164" t="str">
        <x:v>USA Fabuloso: Take Kitchen Cabinets from Drab to Fab(uloso!)</x:v>
      </x:c>
      <x:c r="F276" s="164" t="str">
        <x:v>SKU Library</x:v>
      </x:c>
      <x:c r="G276" s="167" t="str">
        <x:v>2026-08-31</x:v>
      </x:c>
    </x:row>
    <x:row r="277" ht="18" customHeight="1">
      <x:c r="A277" s="163" t="str">
        <x:v>SRC-0276</x:v>
      </x:c>
      <x:c r="B277" s="164" t="str">
        <x:v>https://www.fabuloso.com/en-us/products</x:v>
      </x:c>
      <x:c r="C277" s="164" t="str">
        <x:v>Availability evidence</x:v>
      </x:c>
      <x:c r="D277" s="164" t="str">
        <x:v>Tier 1</x:v>
      </x:c>
      <x:c r="E277" s="164" t="str">
        <x:v>Market presence</x:v>
      </x:c>
      <x:c r="F277" s="164" t="str">
        <x:v>Brand Repository: USA Fabuloso; SKU Library</x:v>
      </x:c>
      <x:c r="G277" s="167" t="str">
        <x:v>2026-08-31</x:v>
      </x:c>
    </x:row>
    <x:row r="278" ht="18" customHeight="1">
      <x:c r="A278" s="163" t="str">
        <x:v>SRC-0277</x:v>
      </x:c>
      <x:c r="B278" s="164" t="str">
        <x:v>https://www.fabuloso.com/en-us/products/multi-purpose-cleaner/lavender</x:v>
      </x:c>
      <x:c r="C278" s="164" t="str">
        <x:v>Official product page</x:v>
      </x:c>
      <x:c r="D278" s="164" t="str">
        <x:v>Tier 1 - first party</x:v>
      </x:c>
      <x:c r="E278" s="164" t="str">
        <x:v>USA Fabuloso: Fabuloso ® 2X Multi-Purpose Cleaner, Lavender Scent</x:v>
      </x:c>
      <x:c r="F278" s="164" t="str">
        <x:v>SKU Library</x:v>
      </x:c>
      <x:c r="G278" s="167" t="str">
        <x:v>2026-08-31</x:v>
      </x:c>
    </x:row>
    <x:row r="279" ht="18" customHeight="1">
      <x:c r="A279" s="163" t="str">
        <x:v>SRC-0278</x:v>
      </x:c>
      <x:c r="B279" s="164" t="str">
        <x:v>https://www.fabuloso.com/en-us/products/multi-purpose-cleaner/original-lavender-scent</x:v>
      </x:c>
      <x:c r="C279" s="164" t="str">
        <x:v>Official product page</x:v>
      </x:c>
      <x:c r="D279" s="164" t="str">
        <x:v>Tier 1 - first party</x:v>
      </x:c>
      <x:c r="E279" s="164" t="str">
        <x:v>USA Fabuloso: Passion of Lavender Cleaner | Fabuloso®</x:v>
      </x:c>
      <x:c r="F279" s="164" t="str">
        <x:v>SKU Library</x:v>
      </x:c>
      <x:c r="G279" s="167" t="str">
        <x:v>2026-08-31</x:v>
      </x:c>
    </x:row>
    <x:row r="280" ht="18" customHeight="1">
      <x:c r="A280" s="163" t="str">
        <x:v>SRC-0279</x:v>
      </x:c>
      <x:c r="B280" s="164" t="str">
        <x:v>https://www.fabuloso.com/products/multi-purpose-cleaner/bleach-alternative-spring-fresh</x:v>
      </x:c>
      <x:c r="C280" s="164" t="str">
        <x:v>Official product page</x:v>
      </x:c>
      <x:c r="D280" s="164" t="str">
        <x:v>Tier 1 - first party</x:v>
      </x:c>
      <x:c r="E280" s="164" t="str">
        <x:v>USA Fabuloso: Spring Fresh Multi-Purpose Cleaner 2X with Bleach Alternative | Fabuloso®</x:v>
      </x:c>
      <x:c r="F280" s="164" t="str">
        <x:v>SKU Library</x:v>
      </x:c>
      <x:c r="G280" s="167" t="str">
        <x:v>2026-08-31</x:v>
      </x:c>
    </x:row>
    <x:row r="281" ht="18" customHeight="1">
      <x:c r="A281" s="163" t="str">
        <x:v>SRC-0280</x:v>
      </x:c>
      <x:c r="B281" s="164" t="str">
        <x:v>https://www.fabuloso.com/products/multi-purpose-cleaner/carnaval-scent</x:v>
      </x:c>
      <x:c r="C281" s="164" t="str">
        <x:v>Official product page</x:v>
      </x:c>
      <x:c r="D281" s="164" t="str">
        <x:v>Tier 1 - first party</x:v>
      </x:c>
      <x:c r="E281" s="164" t="str">
        <x:v>USA Fabuloso: Fabuloso Multi-Purpose Cleaner, 2X Concentrated Formula, Limited Edition, Carnaval Scent</x:v>
      </x:c>
      <x:c r="F281" s="164" t="str">
        <x:v>SKU Library</x:v>
      </x:c>
      <x:c r="G281" s="167" t="str">
        <x:v>2026-08-31</x:v>
      </x:c>
    </x:row>
    <x:row r="282" ht="18" customHeight="1">
      <x:c r="A282" s="163" t="str">
        <x:v>SRC-0281</x:v>
      </x:c>
      <x:c r="B282" s="164" t="str">
        <x:v>https://www.fabuloso.com/products/multi-purpose-cleaner/citrus-and-fruits-with-baking-soda</x:v>
      </x:c>
      <x:c r="C282" s="164" t="str">
        <x:v>Official product page</x:v>
      </x:c>
      <x:c r="D282" s="164" t="str">
        <x:v>Tier 1 - first party</x:v>
      </x:c>
      <x:c r="E282" s="164" t="str">
        <x:v>USA Fabuloso: Citrus &amp; Fruits Multi-Purpose Cleaner 2X with Baking Soda | Fabuloso®</x:v>
      </x:c>
      <x:c r="F282" s="164" t="str">
        <x:v>SKU Library</x:v>
      </x:c>
      <x:c r="G282" s="167" t="str">
        <x:v>2026-08-31</x:v>
      </x:c>
    </x:row>
    <x:row r="283" ht="18" customHeight="1">
      <x:c r="A283" s="163" t="str">
        <x:v>SRC-0282</x:v>
      </x:c>
      <x:c r="B283" s="164" t="str">
        <x:v>https://www.fabuloso.com/products/multi-purpose-cleaner/cleaner-spray-lavender</x:v>
      </x:c>
      <x:c r="C283" s="164" t="str">
        <x:v>Official product page</x:v>
      </x:c>
      <x:c r="D283" s="164" t="str">
        <x:v>Tier 1 - first party</x:v>
      </x:c>
      <x:c r="E283" s="164" t="str">
        <x:v>USA Fabuloso: Fabuloso® Multi-Purpose Cleaner Spray, 3-in-1 Clean, Lavender Scent</x:v>
      </x:c>
      <x:c r="F283" s="164" t="str">
        <x:v>SKU Library</x:v>
      </x:c>
      <x:c r="G283" s="167" t="str">
        <x:v>2026-08-31</x:v>
      </x:c>
    </x:row>
    <x:row r="284" ht="18" customHeight="1">
      <x:c r="A284" s="163" t="str">
        <x:v>SRC-0283</x:v>
      </x:c>
      <x:c r="B284" s="164" t="str">
        <x:v>https://www.fabuloso.com/products/multi-purpose-cleaner/fabuloso-fresh-winter-mint</x:v>
      </x:c>
      <x:c r="C284" s="164" t="str">
        <x:v>Official product page</x:v>
      </x:c>
      <x:c r="D284" s="164" t="str">
        <x:v>Tier 1 - first party</x:v>
      </x:c>
      <x:c r="E284" s="164" t="str">
        <x:v>USA Fabuloso: Fabuloso Fresh Winter Mint Multi-Purpose Cleaner 2X | Fabuloso®</x:v>
      </x:c>
      <x:c r="F284" s="164" t="str">
        <x:v>SKU Library</x:v>
      </x:c>
      <x:c r="G284" s="167" t="str">
        <x:v>2026-08-31</x:v>
      </x:c>
    </x:row>
    <x:row r="285" ht="18" customHeight="1">
      <x:c r="A285" s="163" t="str">
        <x:v>SRC-0284</x:v>
      </x:c>
      <x:c r="B285" s="164" t="str">
        <x:v>https://www.fabuloso.com/products/multi-purpose-cleaner/fabuloso-wild-winter-berries</x:v>
      </x:c>
      <x:c r="C285" s="164" t="str">
        <x:v>Official product page</x:v>
      </x:c>
      <x:c r="D285" s="164" t="str">
        <x:v>Tier 1 - first party</x:v>
      </x:c>
      <x:c r="E285" s="164" t="str">
        <x:v>USA Fabuloso: Wild Winter Berries Scent Multi-Purpose Cleaner 2X | Fabuloso®</x:v>
      </x:c>
      <x:c r="F285" s="164" t="str">
        <x:v>SKU Library</x:v>
      </x:c>
      <x:c r="G285" s="167" t="str">
        <x:v>2026-08-31</x:v>
      </x:c>
    </x:row>
    <x:row r="286" ht="18" customHeight="1">
      <x:c r="A286" s="163" t="str">
        <x:v>SRC-0285</x:v>
      </x:c>
      <x:c r="B286" s="164" t="str">
        <x:v>https://www.fabuloso.com/products/multi-purpose-cleaner/island-paradise-scent</x:v>
      </x:c>
      <x:c r="C286" s="164" t="str">
        <x:v>Official product page</x:v>
      </x:c>
      <x:c r="D286" s="164" t="str">
        <x:v>Tier 1 - first party</x:v>
      </x:c>
      <x:c r="E286" s="164" t="str">
        <x:v>USA Fabuloso: Fabuloso® Multi-Purpose Cleaner, 2X Concentrated Formula, Island Paradise Scent</x:v>
      </x:c>
      <x:c r="F286" s="164" t="str">
        <x:v>SKU Library</x:v>
      </x:c>
      <x:c r="G286" s="167" t="str">
        <x:v>2026-08-31</x:v>
      </x:c>
    </x:row>
    <x:row r="287" ht="18" customHeight="1">
      <x:c r="A287" s="163" t="str">
        <x:v>SRC-0286</x:v>
      </x:c>
      <x:c r="B287" s="164" t="str">
        <x:v>https://www.fabuloso.com/products/multi-purpose-cleaner/lavender</x:v>
      </x:c>
      <x:c r="C287" s="164" t="str">
        <x:v>Official product page</x:v>
      </x:c>
      <x:c r="D287" s="164" t="str">
        <x:v>Tier 1 - first party</x:v>
      </x:c>
      <x:c r="E287" s="164" t="str">
        <x:v>USA Fabuloso: Lavender 2X Multi-Purpose Cleaner | Fabuloso®</x:v>
      </x:c>
      <x:c r="F287" s="164" t="str">
        <x:v>SKU Library</x:v>
      </x:c>
      <x:c r="G287" s="167" t="str">
        <x:v>2026-08-31</x:v>
      </x:c>
    </x:row>
    <x:row r="288" ht="18" customHeight="1">
      <x:c r="A288" s="163" t="str">
        <x:v>SRC-0287</x:v>
      </x:c>
      <x:c r="B288" s="164" t="str">
        <x:v>https://www.fabuloso.com/products/multi-purpose-cleaner/light-lavender?bvstate=pg%3A5%2Fct%3Ar</x:v>
      </x:c>
      <x:c r="C288" s="164" t="str">
        <x:v>Official product page</x:v>
      </x:c>
      <x:c r="D288" s="164" t="str">
        <x:v>Tier 1 - first party</x:v>
      </x:c>
      <x:c r="E288" s="164" t="str">
        <x:v>USA Fabuloso: Light Lavender All-Purpose Cleaner | Fabuloso®</x:v>
      </x:c>
      <x:c r="F288" s="164" t="str">
        <x:v>SKU Library</x:v>
      </x:c>
      <x:c r="G288" s="167" t="str">
        <x:v>2026-08-31</x:v>
      </x:c>
    </x:row>
    <x:row r="289" ht="18" customHeight="1">
      <x:c r="A289" s="163" t="str">
        <x:v>SRC-0288</x:v>
      </x:c>
      <x:c r="B289" s="164" t="str">
        <x:v>https://www.fabuloso.com/products/multi-purpose-cleaner/orange-with-baking-soda</x:v>
      </x:c>
      <x:c r="C289" s="164" t="str">
        <x:v>Official product page</x:v>
      </x:c>
      <x:c r="D289" s="164" t="str">
        <x:v>Tier 1 - first party</x:v>
      </x:c>
      <x:c r="E289" s="164" t="str">
        <x:v>USA Fabuloso: Orange with Baking Soda Multi-Purpose Cleaner 2X | Fabuloso®</x:v>
      </x:c>
      <x:c r="F289" s="164" t="str">
        <x:v>SKU Library</x:v>
      </x:c>
      <x:c r="G289" s="167" t="str">
        <x:v>2026-08-31</x:v>
      </x:c>
    </x:row>
    <x:row r="290" ht="18" customHeight="1">
      <x:c r="A290" s="163" t="str">
        <x:v>SRC-0289</x:v>
      </x:c>
      <x:c r="B290" s="164" t="str">
        <x:v>https://www.fabuloso.com/products/multi-purpose-cleaner/original-berries-and-tea-tree-scent</x:v>
      </x:c>
      <x:c r="C290" s="164" t="str">
        <x:v>Official product page</x:v>
      </x:c>
      <x:c r="D290" s="164" t="str">
        <x:v>Tier 1 - first party</x:v>
      </x:c>
      <x:c r="E290" s="164" t="str">
        <x:v>USA Fabuloso: Berries and Tea Tree Scent Cleaner | Fabuloso®</x:v>
      </x:c>
      <x:c r="F290" s="164" t="str">
        <x:v>SKU Library</x:v>
      </x:c>
      <x:c r="G290" s="167" t="str">
        <x:v>2026-08-31</x:v>
      </x:c>
    </x:row>
    <x:row r="291" ht="18" customHeight="1">
      <x:c r="A291" s="163" t="str">
        <x:v>SRC-0290</x:v>
      </x:c>
      <x:c r="B291" s="164" t="str">
        <x:v>https://www.fabuloso.com/products/multi-purpose-cleaner/original-citrus-and-fruits-scent</x:v>
      </x:c>
      <x:c r="C291" s="164" t="str">
        <x:v>Official product page</x:v>
      </x:c>
      <x:c r="D291" s="164" t="str">
        <x:v>Tier 1 - first party</x:v>
      </x:c>
      <x:c r="E291" s="164" t="str">
        <x:v>USA Fabuloso: Citrus &amp; Fruits Scent Cleaner | Fabuloso®</x:v>
      </x:c>
      <x:c r="F291" s="164" t="str">
        <x:v>SKU Library</x:v>
      </x:c>
      <x:c r="G291" s="167" t="str">
        <x:v>2026-08-31</x:v>
      </x:c>
    </x:row>
    <x:row r="292" ht="18" customHeight="1">
      <x:c r="A292" s="163" t="str">
        <x:v>SRC-0291</x:v>
      </x:c>
      <x:c r="B292" s="164" t="str">
        <x:v>https://www.fabuloso.com/products/multi-purpose-cleaner/original-orange-with-baking-soda-16oz</x:v>
      </x:c>
      <x:c r="C292" s="164" t="str">
        <x:v>Official product page</x:v>
      </x:c>
      <x:c r="D292" s="164" t="str">
        <x:v>Tier 1 - first party</x:v>
      </x:c>
      <x:c r="E292" s="164" t="str">
        <x:v>USA Fabuloso: Orange and Baking Soda All-Purpose Cleaner | Fabuloso®</x:v>
      </x:c>
      <x:c r="F292" s="164" t="str">
        <x:v>SKU Library</x:v>
      </x:c>
      <x:c r="G292" s="167" t="str">
        <x:v>2026-08-31</x:v>
      </x:c>
    </x:row>
    <x:row r="293" ht="18" customHeight="1">
      <x:c r="A293" s="163" t="str">
        <x:v>SRC-0292</x:v>
      </x:c>
      <x:c r="B293" s="164" t="str">
        <x:v>https://www.fabuloso.com/products/multi-purpose-cleaner/original-passion-of-fruits</x:v>
      </x:c>
      <x:c r="C293" s="164" t="str">
        <x:v>Official product page</x:v>
      </x:c>
      <x:c r="D293" s="164" t="str">
        <x:v>Tier 1 - first party</x:v>
      </x:c>
      <x:c r="E293" s="164" t="str">
        <x:v>USA Fabuloso: Passion of Fruits All-Purpose Cleaner | Fabuloso®</x:v>
      </x:c>
      <x:c r="F293" s="164" t="str">
        <x:v>SKU Library</x:v>
      </x:c>
      <x:c r="G293" s="167" t="str">
        <x:v>2026-08-31</x:v>
      </x:c>
    </x:row>
    <x:row r="294" ht="18" customHeight="1">
      <x:c r="A294" s="163" t="str">
        <x:v>SRC-0293</x:v>
      </x:c>
      <x:c r="B294" s="164" t="str">
        <x:v>https://www.fabuloso.com/products/multi-purpose-cleaner/original-refreshing-lemon</x:v>
      </x:c>
      <x:c r="C294" s="164" t="str">
        <x:v>Official product page</x:v>
      </x:c>
      <x:c r="D294" s="164" t="str">
        <x:v>Tier 1 - first party</x:v>
      </x:c>
      <x:c r="E294" s="164" t="str">
        <x:v>USA Fabuloso: Refreshing Lemon All-Purpose Cleaner | Fabuloso®</x:v>
      </x:c>
      <x:c r="F294" s="164" t="str">
        <x:v>SKU Library</x:v>
      </x:c>
      <x:c r="G294" s="167" t="str">
        <x:v>2026-08-31</x:v>
      </x:c>
    </x:row>
    <x:row r="295" ht="18" customHeight="1">
      <x:c r="A295" s="163" t="str">
        <x:v>SRC-0294</x:v>
      </x:c>
      <x:c r="B295" s="164" t="str">
        <x:v>https://www.fabuloso.com/products/multi-purpose-cleaner/passion-of-fruits</x:v>
      </x:c>
      <x:c r="C295" s="164" t="str">
        <x:v>Official product page</x:v>
      </x:c>
      <x:c r="D295" s="164" t="str">
        <x:v>Tier 1 - first party</x:v>
      </x:c>
      <x:c r="E295" s="164" t="str">
        <x:v>USA Fabuloso: Passion of Fruits Multi-Purpose Cleaner 2X | Fabuloso®</x:v>
      </x:c>
      <x:c r="F295" s="164" t="str">
        <x:v>SKU Library</x:v>
      </x:c>
      <x:c r="G295" s="167" t="str">
        <x:v>2026-08-31</x:v>
      </x:c>
    </x:row>
    <x:row r="296" ht="18" customHeight="1">
      <x:c r="A296" s="163" t="str">
        <x:v>SRC-0295</x:v>
      </x:c>
      <x:c r="B296" s="164" t="str">
        <x:v>https://www.fabuloso.com/products/multi-purpose-cleaner/peach</x:v>
      </x:c>
      <x:c r="C296" s="164" t="str">
        <x:v>Official product page</x:v>
      </x:c>
      <x:c r="D296" s="164" t="str">
        <x:v>Tier 1 - first party</x:v>
      </x:c>
      <x:c r="E296" s="164" t="str">
        <x:v>USA Fabuloso: Peach All-Purpose Cleaner | Fabuloso®</x:v>
      </x:c>
      <x:c r="F296" s="164" t="str">
        <x:v>SKU Library</x:v>
      </x:c>
      <x:c r="G296" s="167" t="str">
        <x:v>2026-08-31</x:v>
      </x:c>
    </x:row>
    <x:row r="297" ht="18" customHeight="1">
      <x:c r="A297" s="163" t="str">
        <x:v>SRC-0296</x:v>
      </x:c>
      <x:c r="B297" s="164" t="str">
        <x:v>https://www.fabuloso.com/products/multi-purpose-cleaner/pineapple-scent</x:v>
      </x:c>
      <x:c r="C297" s="164" t="str">
        <x:v>Official product page</x:v>
      </x:c>
      <x:c r="D297" s="164" t="str">
        <x:v>Tier 1 - first party</x:v>
      </x:c>
      <x:c r="E297" s="164" t="str">
        <x:v>USA Fabuloso: Fabuloso® Multi-Purpose Cleaner, 2X Concentrated Formula, Pineapple Scent</x:v>
      </x:c>
      <x:c r="F297" s="164" t="str">
        <x:v>SKU Library</x:v>
      </x:c>
      <x:c r="G297" s="167" t="str">
        <x:v>2026-08-31</x:v>
      </x:c>
    </x:row>
    <x:row r="298" ht="18" customHeight="1">
      <x:c r="A298" s="163" t="str">
        <x:v>SRC-0297</x:v>
      </x:c>
      <x:c r="B298" s="164" t="str">
        <x:v>https://www.fabuloso.com/products/multi-purpose-cleaner/refreshing-lemon</x:v>
      </x:c>
      <x:c r="C298" s="164" t="str">
        <x:v>Official product page</x:v>
      </x:c>
      <x:c r="D298" s="164" t="str">
        <x:v>Tier 1 - first party</x:v>
      </x:c>
      <x:c r="E298" s="164" t="str">
        <x:v>USA Fabuloso: 2X Multi-Purpose Cleaner, Refreshing Lemon Scent | Fabuloso®</x:v>
      </x:c>
      <x:c r="F298" s="164" t="str">
        <x:v>SKU Library</x:v>
      </x:c>
      <x:c r="G298" s="167" t="str">
        <x:v>2026-08-31</x:v>
      </x:c>
    </x:row>
    <x:row r="299" ht="18" customHeight="1">
      <x:c r="A299" s="163" t="str">
        <x:v>SRC-0298</x:v>
      </x:c>
      <x:c r="B299" s="164" t="str">
        <x:v>https://www.fabuloso.com/products/multi-purpose-cleaner/spray-refreshing-lemon</x:v>
      </x:c>
      <x:c r="C299" s="164" t="str">
        <x:v>Official product page</x:v>
      </x:c>
      <x:c r="D299" s="164" t="str">
        <x:v>Tier 1 - first party</x:v>
      </x:c>
      <x:c r="E299" s="164" t="str">
        <x:v>USA Fabuloso: Fabuloso® Multi-Purpose Cleaner Spray, 3-in-1 Clean, Refreshing Lemon Scent</x:v>
      </x:c>
      <x:c r="F299" s="164" t="str">
        <x:v>SKU Library</x:v>
      </x:c>
      <x:c r="G299" s="167" t="str">
        <x:v>2026-08-31</x:v>
      </x:c>
    </x:row>
    <x:row r="300" ht="18" customHeight="1">
      <x:c r="A300" s="163" t="str">
        <x:v>SRC-0299</x:v>
      </x:c>
      <x:c r="B300" s="164" t="str">
        <x:v>https://www.fabuloso.com/products/multi-purpose-cleaner/tropical-spring</x:v>
      </x:c>
      <x:c r="C300" s="164" t="str">
        <x:v>Official product page</x:v>
      </x:c>
      <x:c r="D300" s="164" t="str">
        <x:v>Tier 1 - first party</x:v>
      </x:c>
      <x:c r="E300" s="164" t="str">
        <x:v>USA Fabuloso: Tropical Spring Multi-Purpose Cleaner 2X | Fabuloso®</x:v>
      </x:c>
      <x:c r="F300" s="164" t="str">
        <x:v>SKU Library</x:v>
      </x:c>
      <x:c r="G300" s="167" t="str">
        <x:v>2026-08-31</x:v>
      </x:c>
    </x:row>
    <x:row r="301" ht="18" customHeight="1">
      <x:c r="A301" s="163" t="str">
        <x:v>SRC-0300</x:v>
      </x:c>
      <x:c r="B301" s="164" t="str">
        <x:v>https://www.fabuloso.com/products/multi-purpose-cleaner/watermelon-scent</x:v>
      </x:c>
      <x:c r="C301" s="164" t="str">
        <x:v>Official product page</x:v>
      </x:c>
      <x:c r="D301" s="164" t="str">
        <x:v>Tier 1 - first party</x:v>
      </x:c>
      <x:c r="E301" s="164" t="str">
        <x:v>USA Fabuloso: 2X Multi-Purpose Cleaner, Watermelon Scent | Fabuloso®</x:v>
      </x:c>
      <x:c r="F301" s="164" t="str">
        <x:v>SKU Library</x:v>
      </x:c>
      <x:c r="G301" s="167" t="str">
        <x:v>2026-08-31</x:v>
      </x:c>
    </x:row>
    <x:row r="302" ht="18" customHeight="1">
      <x:c r="A302" s="163" t="str">
        <x:v>SRC-0301</x:v>
      </x:c>
      <x:c r="B302" s="164" t="str">
        <x:v>https://www.hello-products.com/</x:v>
      </x:c>
      <x:c r="C302" s="164" t="str">
        <x:v>Official brand/corporate page</x:v>
      </x:c>
      <x:c r="D302" s="164" t="str">
        <x:v>Tier 1 - first party</x:v>
      </x:c>
      <x:c r="E302" s="164" t="str">
        <x:v>Positioning, assets and innovation themes</x:v>
      </x:c>
      <x:c r="F302" s="164" t="str">
        <x:v>Brand Repository: USA hello; Brand Repository: CA hello</x:v>
      </x:c>
      <x:c r="G302" s="167" t="str">
        <x:v>2026-08-31</x:v>
      </x:c>
    </x:row>
    <x:row r="303" ht="18" customHeight="1">
      <x:c r="A303" s="163" t="str">
        <x:v>SRC-0302</x:v>
      </x:c>
      <x:c r="B303" s="164" t="str">
        <x:v>https://www.hello-products.com/blogs/news/meet-hello-whipped</x:v>
      </x:c>
      <x:c r="C303" s="164" t="str">
        <x:v>Official catalog listing</x:v>
      </x:c>
      <x:c r="D303" s="164" t="str">
        <x:v>Tier 1 - first party</x:v>
      </x:c>
      <x:c r="E303" s="164" t="str">
        <x:v>USA hello: So… what is hello whipped™ toothpaste?</x:v>
      </x:c>
      <x:c r="F303" s="164" t="str">
        <x:v>SKU Library</x:v>
      </x:c>
      <x:c r="G303" s="167" t="str">
        <x:v>2026-08-31</x:v>
      </x:c>
    </x:row>
    <x:row r="304" ht="18" customHeight="1">
      <x:c r="A304" s="163" t="str">
        <x:v>SRC-0303</x:v>
      </x:c>
      <x:c r="B304" s="164" t="str">
        <x:v>https://www.hello-products.com/collections/adult-toothbrushes</x:v>
      </x:c>
      <x:c r="C304" s="164" t="str">
        <x:v>Availability evidence</x:v>
      </x:c>
      <x:c r="D304" s="164" t="str">
        <x:v>Tier 1</x:v>
      </x:c>
      <x:c r="E304" s="164" t="str">
        <x:v>Market presence</x:v>
      </x:c>
      <x:c r="F304" s="164" t="str">
        <x:v>Brand Repository: USA hello; SKU Library</x:v>
      </x:c>
      <x:c r="G304" s="167" t="str">
        <x:v>2026-08-31</x:v>
      </x:c>
    </x:row>
    <x:row r="305" ht="18" customHeight="1">
      <x:c r="A305" s="163" t="str">
        <x:v>SRC-0304</x:v>
      </x:c>
      <x:c r="B305" s="164" t="str">
        <x:v>https://www.hello-products.com/collections/adult-toothpaste</x:v>
      </x:c>
      <x:c r="C305" s="164" t="str">
        <x:v>Official product page</x:v>
      </x:c>
      <x:c r="D305" s="164" t="str">
        <x:v>Tier 1 - first party</x:v>
      </x:c>
      <x:c r="E305" s="164" t="str">
        <x:v>USA hello: Adult Toothpaste | hello</x:v>
      </x:c>
      <x:c r="F305" s="164" t="str">
        <x:v>SKU Library</x:v>
      </x:c>
      <x:c r="G305" s="167" t="str">
        <x:v>2026-08-31</x:v>
      </x:c>
    </x:row>
    <x:row r="306" ht="18" customHeight="1">
      <x:c r="A306" s="163" t="str">
        <x:v>SRC-0305</x:v>
      </x:c>
      <x:c r="B306" s="164" t="str">
        <x:v>https://www.hello-products.com/collections/all-adult-products</x:v>
      </x:c>
      <x:c r="C306" s="164" t="str">
        <x:v>Official catalog listing</x:v>
      </x:c>
      <x:c r="D306" s="164" t="str">
        <x:v>Tier 1 - first party</x:v>
      </x:c>
      <x:c r="E306" s="164" t="str">
        <x:v>USA hello: so delish, kids will rush to brush</x:v>
      </x:c>
      <x:c r="F306" s="164" t="str">
        <x:v>SKU Library</x:v>
      </x:c>
      <x:c r="G306" s="167" t="str">
        <x:v>2026-08-31</x:v>
      </x:c>
    </x:row>
    <x:row r="307" ht="18" customHeight="1">
      <x:c r="A307" s="163" t="str">
        <x:v>SRC-0306</x:v>
      </x:c>
      <x:c r="B307" s="164" t="str">
        <x:v>https://www.hello-products.com/collections/bundles</x:v>
      </x:c>
      <x:c r="C307" s="164" t="str">
        <x:v>Official product page</x:v>
      </x:c>
      <x:c r="D307" s="164" t="str">
        <x:v>Tier 1 - first party</x:v>
      </x:c>
      <x:c r="E307" s="164" t="str">
        <x:v>USA hello: Deodorant &amp; Oral Care Bundles</x:v>
      </x:c>
      <x:c r="F307" s="164" t="str">
        <x:v>SKU Library</x:v>
      </x:c>
      <x:c r="G307" s="167" t="str">
        <x:v>2026-08-31</x:v>
      </x:c>
    </x:row>
    <x:row r="308" ht="18" customHeight="1">
      <x:c r="A308" s="163" t="str">
        <x:v>SRC-0307</x:v>
      </x:c>
      <x:c r="B308" s="164" t="str">
        <x:v>https://www.hello-products.com/collections/home-page</x:v>
      </x:c>
      <x:c r="C308" s="164" t="str">
        <x:v>Official product page</x:v>
      </x:c>
      <x:c r="D308" s="164" t="str">
        <x:v>Tier 1 - first party</x:v>
      </x:c>
      <x:c r="E308" s="164" t="str">
        <x:v>USA hello: oral care products and deodorant</x:v>
      </x:c>
      <x:c r="F308" s="164" t="str">
        <x:v>SKU Library</x:v>
      </x:c>
      <x:c r="G308" s="167" t="str">
        <x:v>2026-08-31</x:v>
      </x:c>
    </x:row>
    <x:row r="309" ht="18" customHeight="1">
      <x:c r="A309" s="163" t="str">
        <x:v>SRC-0308</x:v>
      </x:c>
      <x:c r="B309" s="164" t="str">
        <x:v>https://www.hello-products.com/collections/toothpastes</x:v>
      </x:c>
      <x:c r="C309" s="164" t="str">
        <x:v>Official product page</x:v>
      </x:c>
      <x:c r="D309" s="164" t="str">
        <x:v>Tier 1 - first party</x:v>
      </x:c>
      <x:c r="E309" s="164" t="str">
        <x:v>USA hello: Vegan &amp; Cruelty Free Toothpaste</x:v>
      </x:c>
      <x:c r="F309" s="164" t="str">
        <x:v>SKU Library</x:v>
      </x:c>
      <x:c r="G309" s="167" t="str">
        <x:v>2026-08-31</x:v>
      </x:c>
    </x:row>
    <x:row r="310" ht="18" customHeight="1">
      <x:c r="A310" s="163" t="str">
        <x:v>SRC-0309</x:v>
      </x:c>
      <x:c r="B310" s="164" t="str">
        <x:v>https://www.hello-products.com/collections/whipped</x:v>
      </x:c>
      <x:c r="C310" s="164" t="str">
        <x:v>Official product page</x:v>
      </x:c>
      <x:c r="D310" s="164" t="str">
        <x:v>Tier 1 - first party</x:v>
      </x:c>
      <x:c r="E310" s="164" t="str">
        <x:v>USA hello: Foaming Whipped Toothpaste | hello</x:v>
      </x:c>
      <x:c r="F310" s="164" t="str">
        <x:v>SKU Library</x:v>
      </x:c>
      <x:c r="G310" s="167" t="str">
        <x:v>2026-08-31</x:v>
      </x:c>
    </x:row>
    <x:row r="311" ht="18" customHeight="1">
      <x:c r="A311" s="163" t="str">
        <x:v>SRC-0310</x:v>
      </x:c>
      <x:c r="B311" s="164" t="str">
        <x:v>https://www.hello-products.com/pages/vitamin-c</x:v>
      </x:c>
      <x:c r="C311" s="164" t="str">
        <x:v>Official catalog listing</x:v>
      </x:c>
      <x:c r="D311" s="164" t="str">
        <x:v>Tier 1 - first party</x:v>
      </x:c>
      <x:c r="E311" s="164" t="str">
        <x:v>USA hello: vitamin c toothpaste</x:v>
      </x:c>
      <x:c r="F311" s="164" t="str">
        <x:v>SKU Library</x:v>
      </x:c>
      <x:c r="G311" s="167" t="str">
        <x:v>2026-08-31</x:v>
      </x:c>
    </x:row>
    <x:row r="312" ht="18" customHeight="1">
      <x:c r="A312" s="163" t="str">
        <x:v>SRC-0311</x:v>
      </x:c>
      <x:c r="B312" s="164" t="str">
        <x:v>https://www.hillspet.ca/en-ca/cat-food/prescription-diet-ad-urgent-care-canned</x:v>
      </x:c>
      <x:c r="C312" s="164" t="str">
        <x:v>Availability evidence</x:v>
      </x:c>
      <x:c r="D312" s="164" t="str">
        <x:v>Tier 1</x:v>
      </x:c>
      <x:c r="E312" s="164" t="str">
        <x:v>Market presence</x:v>
      </x:c>
      <x:c r="F312" s="164" t="str">
        <x:v>Brand Repository: CA Hill's Prescription Diet; SKU Library</x:v>
      </x:c>
      <x:c r="G312" s="167" t="str">
        <x:v>2026-08-31</x:v>
      </x:c>
    </x:row>
    <x:row r="313" ht="18" customHeight="1">
      <x:c r="A313" s="163" t="str">
        <x:v>SRC-0312</x:v>
      </x:c>
      <x:c r="B313" s="164" t="str">
        <x:v>https://www.hillspet.ca/en-ca/cat-food/prescription-diet-dd-duck-skin-care-canned</x:v>
      </x:c>
      <x:c r="C313" s="164" t="str">
        <x:v>Official product page</x:v>
      </x:c>
      <x:c r="D313" s="164" t="str">
        <x:v>Tier 1 - first party</x:v>
      </x:c>
      <x:c r="E313" s="164" t="str">
        <x:v>CA Hill's Prescription Diet: d/d Duck Recipe Wet Cat Food</x:v>
      </x:c>
      <x:c r="F313" s="164" t="str">
        <x:v>SKU Library</x:v>
      </x:c>
      <x:c r="G313" s="167" t="str">
        <x:v>2026-08-31</x:v>
      </x:c>
    </x:row>
    <x:row r="314" ht="18" customHeight="1">
      <x:c r="A314" s="163" t="str">
        <x:v>SRC-0313</x:v>
      </x:c>
      <x:c r="B314" s="164" t="str">
        <x:v>https://www.hillspet.ca/en-ca/dog-food/science-diet-adult-perfect-digestion-chicken-rice-oats-dry</x:v>
      </x:c>
      <x:c r="C314" s="164" t="str">
        <x:v>Availability evidence</x:v>
      </x:c>
      <x:c r="D314" s="164" t="str">
        <x:v>Tier 1</x:v>
      </x:c>
      <x:c r="E314" s="164" t="str">
        <x:v>Market presence</x:v>
      </x:c>
      <x:c r="F314" s="164" t="str">
        <x:v>Brand Repository: CA Hill's Science Diet; SKU Library</x:v>
      </x:c>
      <x:c r="G314" s="167" t="str">
        <x:v>2026-08-31</x:v>
      </x:c>
    </x:row>
    <x:row r="315" ht="18" customHeight="1">
      <x:c r="A315" s="163" t="str">
        <x:v>SRC-0314</x:v>
      </x:c>
      <x:c r="B315" s="164" t="str">
        <x:v>https://www.hillspet.com/cat-food/prescription-diet-ad-urgent-care-canned</x:v>
      </x:c>
      <x:c r="C315" s="164" t="str">
        <x:v>Availability evidence</x:v>
      </x:c>
      <x:c r="D315" s="164" t="str">
        <x:v>Tier 1</x:v>
      </x:c>
      <x:c r="E315" s="164" t="str">
        <x:v>Market presence</x:v>
      </x:c>
      <x:c r="F315" s="164" t="str">
        <x:v>Brand Repository: USA Hill's Prescription Diet; Brand Repository: USA Hill's Science Diet; SKU Library</x:v>
      </x:c>
      <x:c r="G315" s="167" t="str">
        <x:v>2026-08-31</x:v>
      </x:c>
    </x:row>
    <x:row r="316" ht="18" customHeight="1">
      <x:c r="A316" s="163" t="str">
        <x:v>SRC-0315</x:v>
      </x:c>
      <x:c r="B316" s="164" t="str">
        <x:v>https://www.hillspet.com/cat-food/science-diet-adult-light-dry</x:v>
      </x:c>
      <x:c r="C316" s="164" t="str">
        <x:v>Official product page</x:v>
      </x:c>
      <x:c r="D316" s="164" t="str">
        <x:v>Tier 1 - first party</x:v>
      </x:c>
      <x:c r="E316" s="164" t="str">
        <x:v>USA Hill's Science Diet: Adult Light Chicken Recipe Cat Food</x:v>
      </x:c>
      <x:c r="F316" s="164" t="str">
        <x:v>SKU Library</x:v>
      </x:c>
      <x:c r="G316" s="167" t="str">
        <x:v>2026-08-31</x:v>
      </x:c>
    </x:row>
    <x:row r="317" ht="18" customHeight="1">
      <x:c r="A317" s="163" t="str">
        <x:v>SRC-0316</x:v>
      </x:c>
      <x:c r="B317" s="164" t="str">
        <x:v>https://www.hillspet.com/dog-food/prescription-diet-id-low-fat-digestive-care-dry</x:v>
      </x:c>
      <x:c r="C317" s="164" t="str">
        <x:v>Official product page</x:v>
      </x:c>
      <x:c r="D317" s="164" t="str">
        <x:v>Tier 1 - first party</x:v>
      </x:c>
      <x:c r="E317" s="164" t="str">
        <x:v>USA Hill's Prescription Diet: i/d Low Fat Dry Dog Food</x:v>
      </x:c>
      <x:c r="F317" s="164" t="str">
        <x:v>SKU Library</x:v>
      </x:c>
      <x:c r="G317" s="167" t="str">
        <x:v>2026-08-31</x:v>
      </x:c>
    </x:row>
    <x:row r="318" ht="18" customHeight="1">
      <x:c r="A318" s="163" t="str">
        <x:v>SRC-0317</x:v>
      </x:c>
      <x:c r="B318" s="164" t="str">
        <x:v>https://www.hillspet.com/dog-food/prescription-diet-zd-food-sensitivities-dry</x:v>
      </x:c>
      <x:c r="C318" s="164" t="str">
        <x:v>Official product page</x:v>
      </x:c>
      <x:c r="D318" s="164" t="str">
        <x:v>Tier 1 - first party</x:v>
      </x:c>
      <x:c r="E318" s="164" t="str">
        <x:v>USA Hill's Prescription Diet: hills z/d Chicken Flavor Dog Food</x:v>
      </x:c>
      <x:c r="F318" s="164" t="str">
        <x:v>SKU Library</x:v>
      </x:c>
      <x:c r="G318" s="167" t="str">
        <x:v>2026-08-31</x:v>
      </x:c>
    </x:row>
    <x:row r="319" ht="18" customHeight="1">
      <x:c r="A319" s="163" t="str">
        <x:v>SRC-0318</x:v>
      </x:c>
      <x:c r="B319" s="164" t="str">
        <x:v>https://www.irishspring.com/</x:v>
      </x:c>
      <x:c r="C319" s="164" t="str">
        <x:v>Official brand/corporate page</x:v>
      </x:c>
      <x:c r="D319" s="164" t="str">
        <x:v>Tier 1 - first party</x:v>
      </x:c>
      <x:c r="E319" s="164" t="str">
        <x:v>Positioning, assets and innovation themes</x:v>
      </x:c>
      <x:c r="F319" s="164" t="str">
        <x:v>Brand Repository: USA Irish Spring; Brand Repository: CA Irish Spring</x:v>
      </x:c>
      <x:c r="G319" s="167" t="str">
        <x:v>2026-08-31</x:v>
      </x:c>
    </x:row>
    <x:row r="320" ht="18" customHeight="1">
      <x:c r="A320" s="163" t="str">
        <x:v>SRC-0319</x:v>
      </x:c>
      <x:c r="B320" s="164" t="str">
        <x:v>https://www.irishspring.com/en-us</x:v>
      </x:c>
      <x:c r="C320" s="164" t="str">
        <x:v>Official product page</x:v>
      </x:c>
      <x:c r="D320" s="164" t="str">
        <x:v>Tier 1 - first party</x:v>
      </x:c>
      <x:c r="E320" s="164" t="str">
        <x:v>USA Irish Spring: Irish Spring: Soap for Men - Body Wash &amp; Bar Soap</x:v>
      </x:c>
      <x:c r="F320" s="164" t="str">
        <x:v>SKU Library</x:v>
      </x:c>
      <x:c r="G320" s="167" t="str">
        <x:v>2026-08-31</x:v>
      </x:c>
    </x:row>
    <x:row r="321" ht="18" customHeight="1">
      <x:c r="A321" s="163" t="str">
        <x:v>SRC-0320</x:v>
      </x:c>
      <x:c r="B321" s="164" t="str">
        <x:v>https://www.irishspring.com/en-us/products-range</x:v>
      </x:c>
      <x:c r="C321" s="164" t="str">
        <x:v>Availability evidence</x:v>
      </x:c>
      <x:c r="D321" s="164" t="str">
        <x:v>Tier 1</x:v>
      </x:c>
      <x:c r="E321" s="164" t="str">
        <x:v>Market presence</x:v>
      </x:c>
      <x:c r="F321" s="164" t="str">
        <x:v>Brand Repository: USA Irish Spring; SKU Library</x:v>
      </x:c>
      <x:c r="G321" s="167" t="str">
        <x:v>2026-08-31</x:v>
      </x:c>
    </x:row>
    <x:row r="322" ht="18" customHeight="1">
      <x:c r="A322" s="163" t="str">
        <x:v>SRC-0321</x:v>
      </x:c>
      <x:c r="B322" s="164" t="str">
        <x:v>https://www.irishspring.com/en-us/products-range/bar-soap</x:v>
      </x:c>
      <x:c r="C322" s="164" t="str">
        <x:v>Official product page</x:v>
      </x:c>
      <x:c r="D322" s="164" t="str">
        <x:v>Tier 1 - first party</x:v>
      </x:c>
      <x:c r="E322" s="164" t="str">
        <x:v>USA Irish Spring: Deodorant Bar Soap</x:v>
      </x:c>
      <x:c r="F322" s="164" t="str">
        <x:v>SKU Library</x:v>
      </x:c>
      <x:c r="G322" s="167" t="str">
        <x:v>2026-08-31</x:v>
      </x:c>
    </x:row>
    <x:row r="323" ht="18" customHeight="1">
      <x:c r="A323" s="163" t="str">
        <x:v>SRC-0322</x:v>
      </x:c>
      <x:c r="B323" s="164" t="str">
        <x:v>https://www.irishspring.com/en-us/products-range/bar-soap/aloe-mist-bar-soap</x:v>
      </x:c>
      <x:c r="C323" s="164" t="str">
        <x:v>Official product page</x:v>
      </x:c>
      <x:c r="D323" s="164" t="str">
        <x:v>Tier 1 - first party</x:v>
      </x:c>
      <x:c r="E323" s="164" t="str">
        <x:v>USA Irish Spring: Aloe Mist Deodorant Bar Soap</x:v>
      </x:c>
      <x:c r="F323" s="164" t="str">
        <x:v>SKU Library</x:v>
      </x:c>
      <x:c r="G323" s="167" t="str">
        <x:v>2026-08-31</x:v>
      </x:c>
    </x:row>
    <x:row r="324" ht="18" customHeight="1">
      <x:c r="A324" s="163" t="str">
        <x:v>SRC-0323</x:v>
      </x:c>
      <x:c r="B324" s="164" t="str">
        <x:v>https://www.irishspring.com/en-us/products-range/bar-soap/classic-aloe-mist-bar-soap</x:v>
      </x:c>
      <x:c r="C324" s="164" t="str">
        <x:v>Official product page</x:v>
      </x:c>
      <x:c r="D324" s="164" t="str">
        <x:v>Tier 1 - first party</x:v>
      </x:c>
      <x:c r="E324" s="164" t="str">
        <x:v>USA Irish Spring: Aloe Mist Classic Bar Soap - Irish Spring</x:v>
      </x:c>
      <x:c r="F324" s="164" t="str">
        <x:v>SKU Library</x:v>
      </x:c>
      <x:c r="G324" s="167" t="str">
        <x:v>2026-08-31</x:v>
      </x:c>
    </x:row>
    <x:row r="325" ht="18" customHeight="1">
      <x:c r="A325" s="163" t="str">
        <x:v>SRC-0324</x:v>
      </x:c>
      <x:c r="B325" s="164" t="str">
        <x:v>https://www.irishspring.com/en-us/products-range/bar-soap/classic-moisture-blast-bar-soap</x:v>
      </x:c>
      <x:c r="C325" s="164" t="str">
        <x:v>Official product page</x:v>
      </x:c>
      <x:c r="D325" s="164" t="str">
        <x:v>Tier 1 - first party</x:v>
      </x:c>
      <x:c r="E325" s="164" t="str">
        <x:v>USA Irish Spring: Moisture Blast Classic Bar Soap</x:v>
      </x:c>
      <x:c r="F325" s="164" t="str">
        <x:v>SKU Library</x:v>
      </x:c>
      <x:c r="G325" s="167" t="str">
        <x:v>2026-08-31</x:v>
      </x:c>
    </x:row>
    <x:row r="326" ht="18" customHeight="1">
      <x:c r="A326" s="163" t="str">
        <x:v>SRC-0325</x:v>
      </x:c>
      <x:c r="B326" s="164" t="str">
        <x:v>https://www.irishspring.com/en-us/products-range/bar-soap/classic-moisture-blast-bar-soap?bvstate=pg%3A5%2Fct%3Ar</x:v>
      </x:c>
      <x:c r="C326" s="164" t="str">
        <x:v>Official product page</x:v>
      </x:c>
      <x:c r="D326" s="164" t="str">
        <x:v>Tier 1 - first party</x:v>
      </x:c>
      <x:c r="E326" s="164" t="str">
        <x:v>USA Irish Spring: Moisture Blast Classic - Moisturizing Bar Soap - Irish Spring</x:v>
      </x:c>
      <x:c r="F326" s="164" t="str">
        <x:v>SKU Library</x:v>
      </x:c>
      <x:c r="G326" s="167" t="str">
        <x:v>2026-08-31</x:v>
      </x:c>
    </x:row>
    <x:row r="327" ht="18" customHeight="1">
      <x:c r="A327" s="163" t="str">
        <x:v>SRC-0326</x:v>
      </x:c>
      <x:c r="B327" s="164" t="str">
        <x:v>https://www.irishspring.com/en-us/products-range/bar-soap/classic-original-clean-bar-soap</x:v>
      </x:c>
      <x:c r="C327" s="164" t="str">
        <x:v>Official product page</x:v>
      </x:c>
      <x:c r="D327" s="164" t="str">
        <x:v>Tier 1 - first party</x:v>
      </x:c>
      <x:c r="E327" s="164" t="str">
        <x:v>USA Irish Spring: Original Classic Deodorant Bar Soap - Irish Spring</x:v>
      </x:c>
      <x:c r="F327" s="164" t="str">
        <x:v>SKU Library</x:v>
      </x:c>
      <x:c r="G327" s="167" t="str">
        <x:v>2026-08-31</x:v>
      </x:c>
    </x:row>
    <x:row r="328" ht="18" customHeight="1">
      <x:c r="A328" s="163" t="str">
        <x:v>SRC-0327</x:v>
      </x:c>
      <x:c r="B328" s="164" t="str">
        <x:v>https://www.irishspring.com/en-us/products-range/bar-soap/icelandic-night-bar-soap</x:v>
      </x:c>
      <x:c r="C328" s="164" t="str">
        <x:v>Official product page</x:v>
      </x:c>
      <x:c r="D328" s="164" t="str">
        <x:v>Tier 1 - first party</x:v>
      </x:c>
      <x:c r="E328" s="164" t="str">
        <x:v>USA Irish Spring: Icelandic Night Bar Soap</x:v>
      </x:c>
      <x:c r="F328" s="164" t="str">
        <x:v>SKU Library</x:v>
      </x:c>
      <x:c r="G328" s="167" t="str">
        <x:v>2026-08-31</x:v>
      </x:c>
    </x:row>
    <x:row r="329" ht="18" customHeight="1">
      <x:c r="A329" s="163" t="str">
        <x:v>SRC-0328</x:v>
      </x:c>
      <x:c r="B329" s="164" t="str">
        <x:v>https://www.irishspring.com/en-us/products-range/bar-soap/icy-blast-scented-bar-soap</x:v>
      </x:c>
      <x:c r="C329" s="164" t="str">
        <x:v>Official product page</x:v>
      </x:c>
      <x:c r="D329" s="164" t="str">
        <x:v>Tier 1 - first party</x:v>
      </x:c>
      <x:c r="E329" s="164" t="str">
        <x:v>USA Irish Spring: Icy Blast Deodorant Bar Soap</x:v>
      </x:c>
      <x:c r="F329" s="164" t="str">
        <x:v>SKU Library</x:v>
      </x:c>
      <x:c r="G329" s="167" t="str">
        <x:v>2026-08-31</x:v>
      </x:c>
    </x:row>
    <x:row r="330" ht="18" customHeight="1">
      <x:c r="A330" s="163" t="str">
        <x:v>SRC-0329</x:v>
      </x:c>
      <x:c r="B330" s="164" t="str">
        <x:v>https://www.irishspring.com/en-us/products-range/bar-soap/original-clean-mens-bar-soap</x:v>
      </x:c>
      <x:c r="C330" s="164" t="str">
        <x:v>Official product page</x:v>
      </x:c>
      <x:c r="D330" s="164" t="str">
        <x:v>Tier 1 - first party</x:v>
      </x:c>
      <x:c r="E330" s="164" t="str">
        <x:v>USA Irish Spring: Original Deodorant Bar Soap</x:v>
      </x:c>
      <x:c r="F330" s="164" t="str">
        <x:v>SKU Library</x:v>
      </x:c>
      <x:c r="G330" s="167" t="str">
        <x:v>2026-08-31</x:v>
      </x:c>
    </x:row>
    <x:row r="331" ht="18" customHeight="1">
      <x:c r="A331" s="163" t="str">
        <x:v>SRC-0330</x:v>
      </x:c>
      <x:c r="B331" s="164" t="str">
        <x:v>https://www.irishspring.com/en-us/products-range/bar-soap/saharan-dawn-bar-soap</x:v>
      </x:c>
      <x:c r="C331" s="164" t="str">
        <x:v>Official product page</x:v>
      </x:c>
      <x:c r="D331" s="164" t="str">
        <x:v>Tier 1 - first party</x:v>
      </x:c>
      <x:c r="E331" s="164" t="str">
        <x:v>USA Irish Spring: Saharan Dawn, Deodorant Bar Soap</x:v>
      </x:c>
      <x:c r="F331" s="164" t="str">
        <x:v>SKU Library</x:v>
      </x:c>
      <x:c r="G331" s="167" t="str">
        <x:v>2026-08-31</x:v>
      </x:c>
    </x:row>
    <x:row r="332" ht="18" customHeight="1">
      <x:c r="A332" s="163" t="str">
        <x:v>SRC-0331</x:v>
      </x:c>
      <x:c r="B332" s="164" t="str">
        <x:v>https://www.irishspring.com/en-us/products-range/body-wash</x:v>
      </x:c>
      <x:c r="C332" s="164" t="str">
        <x:v>Official product page</x:v>
      </x:c>
      <x:c r="D332" s="164" t="str">
        <x:v>Tier 1 - first party</x:v>
      </x:c>
      <x:c r="E332" s="164" t="str">
        <x:v>USA Irish Spring: Body Wash for Men</x:v>
      </x:c>
      <x:c r="F332" s="164" t="str">
        <x:v>SKU Library</x:v>
      </x:c>
      <x:c r="G332" s="167" t="str">
        <x:v>2026-08-31</x:v>
      </x:c>
    </x:row>
    <x:row r="333" ht="18" customHeight="1">
      <x:c r="A333" s="163" t="str">
        <x:v>SRC-0332</x:v>
      </x:c>
      <x:c r="B333" s="164" t="str">
        <x:v>https://www.irishspring.com/en-us/products-range/body-wash/active-scrub-body-exfoliating-wash?bvstate=pg%3A23%2Fct%3Ar&amp;pr_rd_page=2</x:v>
      </x:c>
      <x:c r="C333" s="164" t="str">
        <x:v>Official product page</x:v>
      </x:c>
      <x:c r="D333" s="164" t="str">
        <x:v>Tier 1 - first party</x:v>
      </x:c>
      <x:c r="E333" s="164" t="str">
        <x:v>USA Irish Spring: Active Scrub - Exfoliating Body Wash - Irish Spring</x:v>
      </x:c>
      <x:c r="F333" s="164" t="str">
        <x:v>SKU Library</x:v>
      </x:c>
      <x:c r="G333" s="167" t="str">
        <x:v>2026-08-31</x:v>
      </x:c>
    </x:row>
    <x:row r="334" ht="18" customHeight="1">
      <x:c r="A334" s="163" t="str">
        <x:v>SRC-0333</x:v>
      </x:c>
      <x:c r="B334" s="164" t="str">
        <x:v>https://www.irishspring.com/en-us/products-range/body-wash/aloe-mist-body-wash</x:v>
      </x:c>
      <x:c r="C334" s="164" t="str">
        <x:v>Official product page</x:v>
      </x:c>
      <x:c r="D334" s="164" t="str">
        <x:v>Tier 1 - first party</x:v>
      </x:c>
      <x:c r="E334" s="164" t="str">
        <x:v>USA Irish Spring: Aloe Mist - Aloe Body Wash - Irish Spring</x:v>
      </x:c>
      <x:c r="F334" s="164" t="str">
        <x:v>SKU Library</x:v>
      </x:c>
      <x:c r="G334" s="167" t="str">
        <x:v>2026-08-31</x:v>
      </x:c>
    </x:row>
    <x:row r="335" ht="18" customHeight="1">
      <x:c r="A335" s="163" t="str">
        <x:v>SRC-0334</x:v>
      </x:c>
      <x:c r="B335" s="164" t="str">
        <x:v>https://www.irishspring.com/en-us/products-range/body-wash/gear-5-in-1-body-wash</x:v>
      </x:c>
      <x:c r="C335" s="164" t="str">
        <x:v>Official product page</x:v>
      </x:c>
      <x:c r="D335" s="164" t="str">
        <x:v>Tier 1 - first party</x:v>
      </x:c>
      <x:c r="E335" s="164" t="str">
        <x:v>USA Irish Spring: 5In1 Body Wash - Irish Spring</x:v>
      </x:c>
      <x:c r="F335" s="164" t="str">
        <x:v>SKU Library</x:v>
      </x:c>
      <x:c r="G335" s="167" t="str">
        <x:v>2026-08-31</x:v>
      </x:c>
    </x:row>
    <x:row r="336" ht="18" customHeight="1">
      <x:c r="A336" s="163" t="str">
        <x:v>SRC-0335</x:v>
      </x:c>
      <x:c r="B336" s="164" t="str">
        <x:v>https://www.irishspring.com/en-us/products-range/body-wash/gear-5-in-1-body-wash-pump</x:v>
      </x:c>
      <x:c r="C336" s="164" t="str">
        <x:v>Official product page</x:v>
      </x:c>
      <x:c r="D336" s="164" t="str">
        <x:v>Tier 1 - first party</x:v>
      </x:c>
      <x:c r="E336" s="164" t="str">
        <x:v>USA Irish Spring: 5in1 Body Wash with Pump - Irish Spring</x:v>
      </x:c>
      <x:c r="F336" s="164" t="str">
        <x:v>SKU Library</x:v>
      </x:c>
      <x:c r="G336" s="167" t="str">
        <x:v>2026-08-31</x:v>
      </x:c>
    </x:row>
    <x:row r="337" ht="18" customHeight="1">
      <x:c r="A337" s="163" t="str">
        <x:v>SRC-0336</x:v>
      </x:c>
      <x:c r="B337" s="164" t="str">
        <x:v>https://www.irishspring.com/en-us/products-range/body-wash/moisture-blast-moisturizing-body-wash</x:v>
      </x:c>
      <x:c r="C337" s="164" t="str">
        <x:v>Official product page</x:v>
      </x:c>
      <x:c r="D337" s="164" t="str">
        <x:v>Tier 1 - first party</x:v>
      </x:c>
      <x:c r="E337" s="164" t="str">
        <x:v>USA Irish Spring: Moisture Blast Body Wash - Irish Spring</x:v>
      </x:c>
      <x:c r="F337" s="164" t="str">
        <x:v>SKU Library</x:v>
      </x:c>
      <x:c r="G337" s="167" t="str">
        <x:v>2026-08-31</x:v>
      </x:c>
    </x:row>
    <x:row r="338" ht="18" customHeight="1">
      <x:c r="A338" s="163" t="str">
        <x:v>SRC-0337</x:v>
      </x:c>
      <x:c r="B338" s="164" t="str">
        <x:v>https://www.irishspring.com/en-us/products-range/body-wash/moisture-blast-pump-moisturizing-body-wash-for-men?bvstate=pg%3A3%2Fct%3Ar</x:v>
      </x:c>
      <x:c r="C338" s="164" t="str">
        <x:v>Official product page</x:v>
      </x:c>
      <x:c r="D338" s="164" t="str">
        <x:v>Tier 1 - first party</x:v>
      </x:c>
      <x:c r="E338" s="164" t="str">
        <x:v>USA Irish Spring: Moisture Blast Body Wash with Pump - Irish Spring</x:v>
      </x:c>
      <x:c r="F338" s="164" t="str">
        <x:v>SKU Library</x:v>
      </x:c>
      <x:c r="G338" s="167" t="str">
        <x:v>2026-08-31</x:v>
      </x:c>
    </x:row>
    <x:row r="339" ht="18" customHeight="1">
      <x:c r="A339" s="163" t="str">
        <x:v>SRC-0338</x:v>
      </x:c>
      <x:c r="B339" s="164" t="str">
        <x:v>https://www.irishspring.com/en-us/products-range/body-wash/moisturizing-body-wash-for-men-sea-salt-cedarwood-scent?bvstate=pg%3A2%2Fct%3Ar</x:v>
      </x:c>
      <x:c r="C339" s="164" t="str">
        <x:v>Official product page</x:v>
      </x:c>
      <x:c r="D339" s="164" t="str">
        <x:v>Tier 1 - first party</x:v>
      </x:c>
      <x:c r="E339" s="164" t="str">
        <x:v>USA Irish Spring: Irish Spring 5 in 1 Moisturizing Body Wash for Men, Sea Salt &amp; Cedarwood Scent</x:v>
      </x:c>
      <x:c r="F339" s="164" t="str">
        <x:v>SKU Library</x:v>
      </x:c>
      <x:c r="G339" s="167" t="str">
        <x:v>2026-08-31</x:v>
      </x:c>
    </x:row>
    <x:row r="340" ht="18" customHeight="1">
      <x:c r="A340" s="163" t="str">
        <x:v>SRC-0339</x:v>
      </x:c>
      <x:c r="B340" s="164" t="str">
        <x:v>https://www.irishspring.com/en-us/products-range/body-wash/moisturizing-golden-honey-vetiver-scent</x:v>
      </x:c>
      <x:c r="C340" s="164" t="str">
        <x:v>Official product page</x:v>
      </x:c>
      <x:c r="D340" s="164" t="str">
        <x:v>Tier 1 - first party</x:v>
      </x:c>
      <x:c r="E340" s="164" t="str">
        <x:v>USA Irish Spring: Irish Spring 5 in 1 Moisturizing Body Wash for Men, Golden Honey &amp; Vetiver Scent</x:v>
      </x:c>
      <x:c r="F340" s="164" t="str">
        <x:v>SKU Library</x:v>
      </x:c>
      <x:c r="G340" s="167" t="str">
        <x:v>2026-08-31</x:v>
      </x:c>
    </x:row>
    <x:row r="341" ht="18" customHeight="1">
      <x:c r="A341" s="163" t="str">
        <x:v>SRC-0340</x:v>
      </x:c>
      <x:c r="B341" s="164" t="str">
        <x:v>https://www.irishspring.com/en-us/products-range/body-wash/mountain-chill-body-wash?bvstate=pg%3A2%2Fct%3Ar</x:v>
      </x:c>
      <x:c r="C341" s="164" t="str">
        <x:v>Official product page</x:v>
      </x:c>
      <x:c r="D341" s="164" t="str">
        <x:v>Tier 1 - first party</x:v>
      </x:c>
      <x:c r="E341" s="164" t="str">
        <x:v>USA Irish Spring: Mountain Chill Body Wash - Body Soap - Irish Spring</x:v>
      </x:c>
      <x:c r="F341" s="164" t="str">
        <x:v>SKU Library</x:v>
      </x:c>
      <x:c r="G341" s="167" t="str">
        <x:v>2026-08-31</x:v>
      </x:c>
    </x:row>
    <x:row r="342" ht="18" customHeight="1">
      <x:c r="A342" s="163" t="str">
        <x:v>SRC-0341</x:v>
      </x:c>
      <x:c r="B342" s="164" t="str">
        <x:v>https://www.irishspring.com/en-us/products-range/body-wash/original-clean-body-wash-with-pump</x:v>
      </x:c>
      <x:c r="C342" s="164" t="str">
        <x:v>Official product page</x:v>
      </x:c>
      <x:c r="D342" s="164" t="str">
        <x:v>Tier 1 - first party</x:v>
      </x:c>
      <x:c r="E342" s="164" t="str">
        <x:v>USA Irish Spring: Original Clean Men's Body Wash with Pump - Irish Spring</x:v>
      </x:c>
      <x:c r="F342" s="164" t="str">
        <x:v>SKU Library</x:v>
      </x:c>
      <x:c r="G342" s="167" t="str">
        <x:v>2026-08-31</x:v>
      </x:c>
    </x:row>
    <x:row r="343" ht="18" customHeight="1">
      <x:c r="A343" s="163" t="str">
        <x:v>SRC-0342</x:v>
      </x:c>
      <x:c r="B343" s="164" t="str">
        <x:v>https://www.irishspring.com/en-us/products-range/body-wash/original-clean-mens-wash</x:v>
      </x:c>
      <x:c r="C343" s="164" t="str">
        <x:v>Official product page</x:v>
      </x:c>
      <x:c r="D343" s="164" t="str">
        <x:v>Tier 1 - first party</x:v>
      </x:c>
      <x:c r="E343" s="164" t="str">
        <x:v>USA Irish Spring: Original Clean Men's Body Wash - Irish Spring</x:v>
      </x:c>
      <x:c r="F343" s="164" t="str">
        <x:v>SKU Library</x:v>
      </x:c>
      <x:c r="G343" s="167" t="str">
        <x:v>2026-08-31</x:v>
      </x:c>
    </x:row>
    <x:row r="344" ht="18" customHeight="1">
      <x:c r="A344" s="163" t="str">
        <x:v>SRC-0343</x:v>
      </x:c>
      <x:c r="B344" s="164" t="str">
        <x:v>https://www.irishspring.com/en-us/products-range/body-wash/saharan-dawn-body-wash?bvstate=pg%3A2%2Fct%3Ar</x:v>
      </x:c>
      <x:c r="C344" s="164" t="str">
        <x:v>Official product page</x:v>
      </x:c>
      <x:c r="D344" s="164" t="str">
        <x:v>Tier 1 - first party</x:v>
      </x:c>
      <x:c r="E344" s="164" t="str">
        <x:v>USA Irish Spring: Saharan Dawn Moisturizing Body Wash - Irish Spring</x:v>
      </x:c>
      <x:c r="F344" s="164" t="str">
        <x:v>SKU Library</x:v>
      </x:c>
      <x:c r="G344" s="167" t="str">
        <x:v>2026-08-31</x:v>
      </x:c>
    </x:row>
    <x:row r="345" ht="18" customHeight="1">
      <x:c r="A345" s="163" t="str">
        <x:v>SRC-0344</x:v>
      </x:c>
      <x:c r="B345" s="164" t="str">
        <x:v>https://www.irishspring.com/en-us/products-range/body-wash/ultimate-wakeup-cleansing-body-wash?bvstate=pg%3A4%2Fct%3Ar</x:v>
      </x:c>
      <x:c r="C345" s="164" t="str">
        <x:v>Official product page</x:v>
      </x:c>
      <x:c r="D345" s="164" t="str">
        <x:v>Tier 1 - first party</x:v>
      </x:c>
      <x:c r="E345" s="164" t="str">
        <x:v>USA Irish Spring: Ultimate Wake Up Cleansing Body Wash - Irish Spring</x:v>
      </x:c>
      <x:c r="F345" s="164" t="str">
        <x:v>SKU Library</x:v>
      </x:c>
      <x:c r="G345" s="167" t="str">
        <x:v>2026-08-31</x:v>
      </x:c>
    </x:row>
    <x:row r="346" ht="18" customHeight="1">
      <x:c r="A346" s="163" t="str">
        <x:v>SRC-0345</x:v>
      </x:c>
      <x:c r="B346" s="164" t="str">
        <x:v>https://www.irishspring.com/en-us/products-range/body-wash/ultimate-wakeup-cleansing-body-wash?pr_rd_page=1</x:v>
      </x:c>
      <x:c r="C346" s="164" t="str">
        <x:v>Official product page</x:v>
      </x:c>
      <x:c r="D346" s="164" t="str">
        <x:v>Tier 1 - first party</x:v>
      </x:c>
      <x:c r="E346" s="164" t="str">
        <x:v>USA Irish Spring: Body Wash for Men - Liquid Body Wash</x:v>
      </x:c>
      <x:c r="F346" s="164" t="str">
        <x:v>SKU Library</x:v>
      </x:c>
      <x:c r="G346" s="167" t="str">
        <x:v>2026-08-31</x:v>
      </x:c>
    </x:row>
    <x:row r="347" ht="18" customHeight="1">
      <x:c r="A347" s="163" t="str">
        <x:v>SRC-0346</x:v>
      </x:c>
      <x:c r="B347" s="164" t="str">
        <x:v>https://www.ladyspeedstick.com/</x:v>
      </x:c>
      <x:c r="C347" s="164" t="str">
        <x:v>Official brand/corporate page</x:v>
      </x:c>
      <x:c r="D347" s="164" t="str">
        <x:v>Tier 1 - first party</x:v>
      </x:c>
      <x:c r="E347" s="164" t="str">
        <x:v>Positioning, assets and innovation themes</x:v>
      </x:c>
      <x:c r="F347" s="164" t="str">
        <x:v>Brand Repository: USA Lady Speed Stick; Brand Repository: CA Lady Speed Stick</x:v>
      </x:c>
      <x:c r="G347" s="167" t="str">
        <x:v>2026-08-31</x:v>
      </x:c>
    </x:row>
    <x:row r="348" ht="18" customHeight="1">
      <x:c r="A348" s="163" t="str">
        <x:v>SRC-0347</x:v>
      </x:c>
      <x:c r="B348" s="164" t="str">
        <x:v>https://www.murphyoilsoap.com/</x:v>
      </x:c>
      <x:c r="C348" s="164" t="str">
        <x:v>Official brand/corporate page</x:v>
      </x:c>
      <x:c r="D348" s="164" t="str">
        <x:v>Tier 1 - first party</x:v>
      </x:c>
      <x:c r="E348" s="164" t="str">
        <x:v>Positioning, assets and innovation themes</x:v>
      </x:c>
      <x:c r="F348" s="164" t="str">
        <x:v>Brand Repository: USA Murphy Oil Soap; Brand Repository: CA Murphy Oil Soap; SKU Library</x:v>
      </x:c>
      <x:c r="G348" s="167" t="str">
        <x:v>2026-08-31</x:v>
      </x:c>
    </x:row>
    <x:row r="349" ht="18" customHeight="1">
      <x:c r="A349" s="163" t="str">
        <x:v>SRC-0348</x:v>
      </x:c>
      <x:c r="B349" s="164" t="str">
        <x:v>https://www.murphyoilsoap.com/products/orange-oil-cleaner</x:v>
      </x:c>
      <x:c r="C349" s="164" t="str">
        <x:v>Official product page</x:v>
      </x:c>
      <x:c r="D349" s="164" t="str">
        <x:v>Tier 1 - first party</x:v>
      </x:c>
      <x:c r="E349" s="164" t="str">
        <x:v>USA Murphy Oil Soap: Orange Oil Cleaner | Murphy® Oil Soap</x:v>
      </x:c>
      <x:c r="F349" s="164" t="str">
        <x:v>SKU Library</x:v>
      </x:c>
      <x:c r="G349" s="167" t="str">
        <x:v>2026-08-31</x:v>
      </x:c>
    </x:row>
    <x:row r="350" ht="18" customHeight="1">
      <x:c r="A350" s="163" t="str">
        <x:v>SRC-0349</x:v>
      </x:c>
      <x:c r="B350" s="164" t="str">
        <x:v>https://www.murphyoilsoap.com/products/original-oil-soap</x:v>
      </x:c>
      <x:c r="C350" s="164" t="str">
        <x:v>Official product page</x:v>
      </x:c>
      <x:c r="D350" s="164" t="str">
        <x:v>Tier 1 - first party</x:v>
      </x:c>
      <x:c r="E350" s="164" t="str">
        <x:v>USA Murphy Oil Soap: Original Oil Soap | Murphy® Oil Soap</x:v>
      </x:c>
      <x:c r="F350" s="164" t="str">
        <x:v>SKU Library</x:v>
      </x:c>
      <x:c r="G350" s="167" t="str">
        <x:v>2026-08-31</x:v>
      </x:c>
    </x:row>
    <x:row r="351" ht="18" customHeight="1">
      <x:c r="A351" s="163" t="str">
        <x:v>SRC-0350</x:v>
      </x:c>
      <x:c r="B351" s="164" t="str">
        <x:v>https://www.palmolive.com/en-au/products</x:v>
      </x:c>
      <x:c r="C351" s="164" t="str">
        <x:v>Official catalog listing</x:v>
      </x:c>
      <x:c r="D351" s="164" t="str">
        <x:v>Tier 1 - first party</x:v>
      </x:c>
      <x:c r="E351" s="164" t="str">
        <x:v>USA Palmolive: regular-dry-skin</x:v>
      </x:c>
      <x:c r="F351" s="164" t="str">
        <x:v>SKU Library</x:v>
      </x:c>
      <x:c r="G351" s="167" t="str">
        <x:v>2026-08-31</x:v>
      </x:c>
    </x:row>
    <x:row r="352" ht="18" customHeight="1">
      <x:c r="A352" s="163" t="str">
        <x:v>SRC-0351</x:v>
      </x:c>
      <x:c r="B352" s="164" t="str">
        <x:v>https://www.palmolive.com/en-au/products/ultra-strength-original</x:v>
      </x:c>
      <x:c r="C352" s="164" t="str">
        <x:v>Official product page</x:v>
      </x:c>
      <x:c r="D352" s="164" t="str">
        <x:v>Tier 1 - first party</x:v>
      </x:c>
      <x:c r="E352" s="164" t="str">
        <x:v>USA Palmolive: Palmolive® Ultra Strength Dish Soap | Palmolive®</x:v>
      </x:c>
      <x:c r="F352" s="164" t="str">
        <x:v>SKU Library</x:v>
      </x:c>
      <x:c r="G352" s="167" t="str">
        <x:v>2026-08-31</x:v>
      </x:c>
    </x:row>
    <x:row r="353" ht="18" customHeight="1">
      <x:c r="A353" s="163" t="str">
        <x:v>SRC-0352</x:v>
      </x:c>
      <x:c r="B353" s="164" t="str">
        <x:v>https://www.palmolive.com/en-ca</x:v>
      </x:c>
      <x:c r="C353" s="164" t="str">
        <x:v>Availability evidence</x:v>
      </x:c>
      <x:c r="D353" s="164" t="str">
        <x:v>Tier 1</x:v>
      </x:c>
      <x:c r="E353" s="164" t="str">
        <x:v>Market presence</x:v>
      </x:c>
      <x:c r="F353" s="164" t="str">
        <x:v>Brand Repository: USA Palmolive; SKU Library</x:v>
      </x:c>
      <x:c r="G353" s="167" t="str">
        <x:v>2026-08-31</x:v>
      </x:c>
    </x:row>
    <x:row r="354" ht="18" customHeight="1">
      <x:c r="A354" s="163" t="str">
        <x:v>SRC-0353</x:v>
      </x:c>
      <x:c r="B354" s="164" t="str">
        <x:v>https://www.palmolive.com/en-ca/products/liquid-dish-soap/ultra-sensorials?bvstate=pg:3/ct:r</x:v>
      </x:c>
      <x:c r="C354" s="164" t="str">
        <x:v>Official product page</x:v>
      </x:c>
      <x:c r="D354" s="164" t="str">
        <x:v>Tier 1 - first party</x:v>
      </x:c>
      <x:c r="E354" s="164" t="str">
        <x:v>CA Palmolive: Palmolive® Ultra Sensorials Dish Soap | Palmolive®</x:v>
      </x:c>
      <x:c r="F354" s="164" t="str">
        <x:v>SKU Library</x:v>
      </x:c>
      <x:c r="G354" s="167" t="str">
        <x:v>2026-08-31</x:v>
      </x:c>
    </x:row>
    <x:row r="355" ht="18" customHeight="1">
      <x:c r="A355" s="163" t="str">
        <x:v>SRC-0354</x:v>
      </x:c>
      <x:c r="B355" s="164" t="str">
        <x:v>https://www.palmolive.com/en-ca/products/ultra-strength-original-pump</x:v>
      </x:c>
      <x:c r="C355" s="164" t="str">
        <x:v>Official product page</x:v>
      </x:c>
      <x:c r="D355" s="164" t="str">
        <x:v>Tier 1 - first party</x:v>
      </x:c>
      <x:c r="E355" s="164" t="str">
        <x:v>CA Palmolive: Palmolive® Ultra Strength Original EZ-Pump Dish Soap | Palmolive®</x:v>
      </x:c>
      <x:c r="F355" s="164" t="str">
        <x:v>SKU Library</x:v>
      </x:c>
      <x:c r="G355" s="167" t="str">
        <x:v>2026-08-31</x:v>
      </x:c>
    </x:row>
    <x:row r="356" ht="18" customHeight="1">
      <x:c r="A356" s="163" t="str">
        <x:v>SRC-0355</x:v>
      </x:c>
      <x:c r="B356" s="164" t="str">
        <x:v>https://www.palmolive.com/en-us/coupons</x:v>
      </x:c>
      <x:c r="C356" s="164" t="str">
        <x:v>Official product page</x:v>
      </x:c>
      <x:c r="D356" s="164" t="str">
        <x:v>Tier 1 - first party</x:v>
      </x:c>
      <x:c r="E356" s="164" t="str">
        <x:v>USA Palmolive: Dish Soap Coupons &amp; Special Offers | Palmolive®</x:v>
      </x:c>
      <x:c r="F356" s="164" t="str">
        <x:v>SKU Library</x:v>
      </x:c>
      <x:c r="G356" s="167" t="str">
        <x:v>2026-08-31</x:v>
      </x:c>
    </x:row>
    <x:row r="357" ht="18" customHeight="1">
      <x:c r="A357" s="163" t="str">
        <x:v>SRC-0356</x:v>
      </x:c>
      <x:c r="B357" s="164" t="str">
        <x:v>https://www.palmolive.com/en-us/products</x:v>
      </x:c>
      <x:c r="C357" s="164" t="str">
        <x:v>Official brand/corporate page</x:v>
      </x:c>
      <x:c r="D357" s="164" t="str">
        <x:v>Tier 1 - first party</x:v>
      </x:c>
      <x:c r="E357" s="164" t="str">
        <x:v>Positioning, assets and innovation themes</x:v>
      </x:c>
      <x:c r="F357" s="164" t="str">
        <x:v>Brand Repository: USA Palmolive; Brand Repository: CA Palmolive; SKU Library</x:v>
      </x:c>
      <x:c r="G357" s="167" t="str">
        <x:v>2026-08-31</x:v>
      </x:c>
    </x:row>
    <x:row r="358" ht="18" customHeight="1">
      <x:c r="A358" s="163" t="str">
        <x:v>SRC-0357</x:v>
      </x:c>
      <x:c r="B358" s="164" t="str">
        <x:v>https://www.palmolive.com/en-us/products/liquid-dish-soap</x:v>
      </x:c>
      <x:c r="C358" s="164" t="str">
        <x:v>Official product page</x:v>
      </x:c>
      <x:c r="D358" s="164" t="str">
        <x:v>Tier 1 - first party</x:v>
      </x:c>
      <x:c r="E358" s="164" t="str">
        <x:v>USA Palmolive: Our Liquid Dish Soap Products | Palmolive®</x:v>
      </x:c>
      <x:c r="F358" s="164" t="str">
        <x:v>SKU Library</x:v>
      </x:c>
      <x:c r="G358" s="167" t="str">
        <x:v>2026-08-31</x:v>
      </x:c>
    </x:row>
    <x:row r="359" ht="18" customHeight="1">
      <x:c r="A359" s="163" t="str">
        <x:v>SRC-0358</x:v>
      </x:c>
      <x:c r="B359" s="164" t="str">
        <x:v>https://www.palmolive.com/en-us/products/liquid-dish-soap/citrus-berry-splash-scent</x:v>
      </x:c>
      <x:c r="C359" s="164" t="str">
        <x:v>Official product page</x:v>
      </x:c>
      <x:c r="D359" s="164" t="str">
        <x:v>Tier 1 - first party</x:v>
      </x:c>
      <x:c r="E359" s="164" t="str">
        <x:v>USA Palmolive: Essential Clean Dish Soap, Citrus Berry Splash Scent | Palmolive®</x:v>
      </x:c>
      <x:c r="F359" s="164" t="str">
        <x:v>SKU Library</x:v>
      </x:c>
      <x:c r="G359" s="167" t="str">
        <x:v>2026-08-31</x:v>
      </x:c>
    </x:row>
    <x:row r="360" ht="18" customHeight="1">
      <x:c r="A360" s="163" t="str">
        <x:v>SRC-0359</x:v>
      </x:c>
      <x:c r="B360" s="164" t="str">
        <x:v>https://www.palmolive.com/en-us/products/liquid-dish-soap/mango-bliss</x:v>
      </x:c>
      <x:c r="C360" s="164" t="str">
        <x:v>Official product page</x:v>
      </x:c>
      <x:c r="D360" s="164" t="str">
        <x:v>Tier 1 - first party</x:v>
      </x:c>
      <x:c r="E360" s="164" t="str">
        <x:v>USA Palmolive: Mango Bliss Dish Soap - Powerful Grease Fighter | Palmolive</x:v>
      </x:c>
      <x:c r="F360" s="164" t="str">
        <x:v>SKU Library</x:v>
      </x:c>
      <x:c r="G360" s="167" t="str">
        <x:v>2026-08-31</x:v>
      </x:c>
    </x:row>
    <x:row r="361" ht="18" customHeight="1">
      <x:c r="A361" s="163" t="str">
        <x:v>SRC-0360</x:v>
      </x:c>
      <x:c r="B361" s="164" t="str">
        <x:v>https://www.palmolive.com/en-us/products/liquid-dish-soap/shake-and-clean-starterkit</x:v>
      </x:c>
      <x:c r="C361" s="164" t="str">
        <x:v>Official product page</x:v>
      </x:c>
      <x:c r="D361" s="164" t="str">
        <x:v>Tier 1 - first party</x:v>
      </x:c>
      <x:c r="E361" s="164" t="str">
        <x:v>USA Palmolive: Explore Dish Soaps &amp; Detergents</x:v>
      </x:c>
      <x:c r="F361" s="164" t="str">
        <x:v>SKU Library</x:v>
      </x:c>
      <x:c r="G361" s="167" t="str">
        <x:v>2026-08-31</x:v>
      </x:c>
    </x:row>
    <x:row r="362" ht="18" customHeight="1">
      <x:c r="A362" s="163" t="str">
        <x:v>SRC-0361</x:v>
      </x:c>
      <x:c r="B362" s="164" t="str">
        <x:v>https://www.palmolive.com/en-us/products/liquid-dish-soap/ultra-oxy-power-degreaser?bvstate=pg:2/ct:r</x:v>
      </x:c>
      <x:c r="C362" s="164" t="str">
        <x:v>Official product page</x:v>
      </x:c>
      <x:c r="D362" s="164" t="str">
        <x:v>Tier 1 - first party</x:v>
      </x:c>
      <x:c r="E362" s="164" t="str">
        <x:v>USA Palmolive: Palmolive® Ultra Oxy Power Degreaser Dish Soap | Palmolive®</x:v>
      </x:c>
      <x:c r="F362" s="164" t="str">
        <x:v>SKU Library</x:v>
      </x:c>
      <x:c r="G362" s="167" t="str">
        <x:v>2026-08-31</x:v>
      </x:c>
    </x:row>
    <x:row r="363" ht="18" customHeight="1">
      <x:c r="A363" s="163" t="str">
        <x:v>SRC-0362</x:v>
      </x:c>
      <x:c r="B363" s="164" t="str">
        <x:v>https://www.palmolive.com/en-us/products/liquid-dish-soap/ultra-pure-clear-fragrancefree</x:v>
      </x:c>
      <x:c r="C363" s="164" t="str">
        <x:v>Official product page</x:v>
      </x:c>
      <x:c r="D363" s="164" t="str">
        <x:v>Tier 1 - first party</x:v>
      </x:c>
      <x:c r="E363" s="164" t="str">
        <x:v>USA Palmolive: Palmolive Ultra Pure + Clear Fragrance Free Liquid DIsh ...</x:v>
      </x:c>
      <x:c r="F363" s="164" t="str">
        <x:v>SKU Library</x:v>
      </x:c>
      <x:c r="G363" s="167" t="str">
        <x:v>2026-08-31</x:v>
      </x:c>
    </x:row>
    <x:row r="364" ht="18" customHeight="1">
      <x:c r="A364" s="163" t="str">
        <x:v>SRC-0363</x:v>
      </x:c>
      <x:c r="B364" s="164" t="str">
        <x:v>https://www.palmolive.com/en-us/products/liquid-dish-soap/ultra-pure-clear-spring-fresh</x:v>
      </x:c>
      <x:c r="C364" s="164" t="str">
        <x:v>Official product page</x:v>
      </x:c>
      <x:c r="D364" s="164" t="str">
        <x:v>Tier 1 - first party</x:v>
      </x:c>
      <x:c r="E364" s="164" t="str">
        <x:v>USA Palmolive: Palmolive® Ultra Pure + Clear Spring Fresh Dish Soap</x:v>
      </x:c>
      <x:c r="F364" s="164" t="str">
        <x:v>SKU Library</x:v>
      </x:c>
      <x:c r="G364" s="167" t="str">
        <x:v>2026-08-31</x:v>
      </x:c>
    </x:row>
    <x:row r="365" ht="18" customHeight="1">
      <x:c r="A365" s="163" t="str">
        <x:v>SRC-0364</x:v>
      </x:c>
      <x:c r="B365" s="164" t="str">
        <x:v>https://www.palmolive.com/en-us/products/liquid-dish-soap/ultra-strength-original</x:v>
      </x:c>
      <x:c r="C365" s="164" t="str">
        <x:v>Official product page</x:v>
      </x:c>
      <x:c r="D365" s="164" t="str">
        <x:v>Tier 1 - first party</x:v>
      </x:c>
      <x:c r="E365" s="164" t="str">
        <x:v>USA Palmolive: Palmolive Ultra Strength Original Liquid Dish Soap</x:v>
      </x:c>
      <x:c r="F365" s="164" t="str">
        <x:v>SKU Library</x:v>
      </x:c>
      <x:c r="G365" s="167" t="str">
        <x:v>2026-08-31</x:v>
      </x:c>
    </x:row>
    <x:row r="366" ht="18" customHeight="1">
      <x:c r="A366" s="163" t="str">
        <x:v>SRC-0365</x:v>
      </x:c>
      <x:c r="B366" s="164" t="str">
        <x:v>https://www.palmolive.com/en-us/products/liquid-dish-soap/ultra-strength-original-ez-pump-dish-soap</x:v>
      </x:c>
      <x:c r="C366" s="164" t="str">
        <x:v>Official product page</x:v>
      </x:c>
      <x:c r="D366" s="164" t="str">
        <x:v>Tier 1 - first party</x:v>
      </x:c>
      <x:c r="E366" s="164" t="str">
        <x:v>USA Palmolive: Palmolive® Ultra Strength Original EZ-Pump Dish Soap</x:v>
      </x:c>
      <x:c r="F366" s="164" t="str">
        <x:v>SKU Library</x:v>
      </x:c>
      <x:c r="G366" s="167" t="str">
        <x:v>2026-08-31</x:v>
      </x:c>
    </x:row>
    <x:row r="367" ht="18" customHeight="1">
      <x:c r="A367" s="163" t="str">
        <x:v>SRC-0366</x:v>
      </x:c>
      <x:c r="B367" s="164" t="str">
        <x:v>https://www.pcaskin.com/</x:v>
      </x:c>
      <x:c r="C367" s="164" t="str">
        <x:v>Official brand/corporate page</x:v>
      </x:c>
      <x:c r="D367" s="164" t="str">
        <x:v>Tier 1 - first party</x:v>
      </x:c>
      <x:c r="E367" s="164" t="str">
        <x:v>Positioning, assets and innovation themes</x:v>
      </x:c>
      <x:c r="F367" s="164" t="str">
        <x:v>Brand Repository: USA PCA SKIN; Brand Repository: CA PCA SKIN</x:v>
      </x:c>
      <x:c r="G367" s="167" t="str">
        <x:v>2026-08-31</x:v>
      </x:c>
    </x:row>
    <x:row r="368" ht="18" customHeight="1">
      <x:c r="A368" s="163" t="str">
        <x:v>SRC-0367</x:v>
      </x:c>
      <x:c r="B368" s="164" t="str">
        <x:v>https://www.petco.com/brand/hills-prescription-diet</x:v>
      </x:c>
      <x:c r="C368" s="164" t="str">
        <x:v>Availability evidence</x:v>
      </x:c>
      <x:c r="D368" s="164" t="str">
        <x:v>Tier 1</x:v>
      </x:c>
      <x:c r="E368" s="164" t="str">
        <x:v>Market presence</x:v>
      </x:c>
      <x:c r="F368" s="164" t="str">
        <x:v>Brand Repository: USA Hill's Prescription Diet; SKU Library</x:v>
      </x:c>
      <x:c r="G368" s="167" t="str">
        <x:v>2026-08-31</x:v>
      </x:c>
    </x:row>
    <x:row r="369" ht="18" customHeight="1">
      <x:c r="A369" s="163" t="str">
        <x:v>SRC-0368</x:v>
      </x:c>
      <x:c r="B369" s="164" t="str">
        <x:v>https://www.petco.com/product/hills-science-diet-perfect-digestion-chicken-brown-rice-and-whole-oats-recipe-adult-dry-dog-food</x:v>
      </x:c>
      <x:c r="C369" s="164" t="str">
        <x:v>Availability evidence</x:v>
      </x:c>
      <x:c r="D369" s="164" t="str">
        <x:v>Tier 1</x:v>
      </x:c>
      <x:c r="E369" s="164" t="str">
        <x:v>Market presence</x:v>
      </x:c>
      <x:c r="F369" s="164" t="str">
        <x:v>Brand Repository: USA Hill's Science Diet; SKU Library</x:v>
      </x:c>
      <x:c r="G369" s="167" t="str">
        <x:v>2026-08-31</x:v>
      </x:c>
    </x:row>
    <x:row r="370" ht="18" customHeight="1">
      <x:c r="A370" s="163" t="str">
        <x:v>SRC-0369</x:v>
      </x:c>
      <x:c r="B370" s="164" t="str">
        <x:v>https://www.petco.com/shop/en/petcostore/product/hills-science-diet-adult-urinary-and-hairball-control-chicken-recipe-dry-cat-food</x:v>
      </x:c>
      <x:c r="C370" s="164" t="str">
        <x:v>Current retailer product page</x:v>
      </x:c>
      <x:c r="D370" s="164" t="str">
        <x:v>Tier 2 - retailer</x:v>
      </x:c>
      <x:c r="E370" s="164" t="str">
        <x:v>USA Hill's Science Diet: Hill's Science Diet Adult Urinary &amp; Hairball Control Chicken Recipe Dry Cat Food, 15.5 lbs.</x:v>
      </x:c>
      <x:c r="F370" s="164" t="str">
        <x:v>SKU Library</x:v>
      </x:c>
      <x:c r="G370" s="167" t="str">
        <x:v>2026-08-31</x:v>
      </x:c>
    </x:row>
    <x:row r="371" ht="18" customHeight="1">
      <x:c r="A371" s="163" t="str">
        <x:v>SRC-0370</x:v>
      </x:c>
      <x:c r="B371" s="164" t="str">
        <x:v>https://www.petsmart.ca/5137683.html</x:v>
      </x:c>
      <x:c r="C371" s="164" t="str">
        <x:v>Current retailer product page</x:v>
      </x:c>
      <x:c r="D371" s="164" t="str">
        <x:v>Tier 2 - retailer</x:v>
      </x:c>
      <x:c r="E371" s="164" t="str">
        <x:v>CA Hill's Science Diet: Hill's® Science Diet® Kitten Dry Cat Food - Chicken</x:v>
      </x:c>
      <x:c r="F371" s="164" t="str">
        <x:v>SKU Library</x:v>
      </x:c>
      <x:c r="G371" s="167" t="str">
        <x:v>2026-08-31</x:v>
      </x:c>
    </x:row>
    <x:row r="372" ht="18" customHeight="1">
      <x:c r="A372" s="163" t="str">
        <x:v>SRC-0371</x:v>
      </x:c>
      <x:c r="B372" s="164" t="str">
        <x:v>https://www.petsmart.ca/5209032.html</x:v>
      </x:c>
      <x:c r="C372" s="164" t="str">
        <x:v>Current retailer product page</x:v>
      </x:c>
      <x:c r="D372" s="164" t="str">
        <x:v>Tier 2 - retailer</x:v>
      </x:c>
      <x:c r="E372" s="164" t="str">
        <x:v>CA Hill's Science Diet: Hill's® Science Diet® Perfect Weight Adult Dry Cat Food - Chicken</x:v>
      </x:c>
      <x:c r="F372" s="164" t="str">
        <x:v>SKU Library</x:v>
      </x:c>
      <x:c r="G372" s="167" t="str">
        <x:v>2026-08-31</x:v>
      </x:c>
    </x:row>
    <x:row r="373" ht="18" customHeight="1">
      <x:c r="A373" s="163" t="str">
        <x:v>SRC-0372</x:v>
      </x:c>
      <x:c r="B373" s="164" t="str">
        <x:v>https://www.petsmart.ca/cat/food-and-treats/dry-food/hills-science-diet-adult-perfect-digestion-dry-cat-food-97493.html</x:v>
      </x:c>
      <x:c r="C373" s="164" t="str">
        <x:v>Availability evidence</x:v>
      </x:c>
      <x:c r="D373" s="164" t="str">
        <x:v>Tier 1</x:v>
      </x:c>
      <x:c r="E373" s="164" t="str">
        <x:v>Market presence</x:v>
      </x:c>
      <x:c r="F373" s="164" t="str">
        <x:v>Brand Repository: CA Hill's Science Diet; SKU Library</x:v>
      </x:c>
      <x:c r="G373" s="167" t="str">
        <x:v>2026-08-31</x:v>
      </x:c>
    </x:row>
    <x:row r="374" ht="18" customHeight="1">
      <x:c r="A374" s="163" t="str">
        <x:v>SRC-0373</x:v>
      </x:c>
      <x:c r="B374" s="164" t="str">
        <x:v>https://www.petsmart.ca/dog/food/canned-food/hills-science-diet-adult-wet-dog-food---13-oz-5117274.html</x:v>
      </x:c>
      <x:c r="C374" s="164" t="str">
        <x:v>Current retailer product page</x:v>
      </x:c>
      <x:c r="D374" s="164" t="str">
        <x:v>Tier 2 - retailer</x:v>
      </x:c>
      <x:c r="E374" s="164" t="str">
        <x:v>CA Hill's Science Diet: Hill's® Science Diet® Adult Wet Dog Food - Beef &amp; Barley, 13 oz</x:v>
      </x:c>
      <x:c r="F374" s="164" t="str">
        <x:v>SKU Library</x:v>
      </x:c>
      <x:c r="G374" s="167" t="str">
        <x:v>2026-08-31</x:v>
      </x:c>
    </x:row>
    <x:row r="375" ht="18" customHeight="1">
      <x:c r="A375" s="163" t="str">
        <x:v>SRC-0374</x:v>
      </x:c>
      <x:c r="B375" s="164" t="str">
        <x:v>https://www.petsmart.ca/dog/food/dry-food/hills-science-diet-adult-perfect-weight-and-joint-support-chicken-recipe-dry-dog-food-98025.html</x:v>
      </x:c>
      <x:c r="C375" s="164" t="str">
        <x:v>Current retailer product page</x:v>
      </x:c>
      <x:c r="D375" s="164" t="str">
        <x:v>Tier 2 - retailer</x:v>
      </x:c>
      <x:c r="E375" s="164" t="str">
        <x:v>CA Hill's Science Diet: Hill's Science Diet Adult Perfect Weight &amp; Joint Support Chicken Recipe Dry Dog Food</x:v>
      </x:c>
      <x:c r="F375" s="164" t="str">
        <x:v>SKU Library</x:v>
      </x:c>
      <x:c r="G375" s="167" t="str">
        <x:v>2026-08-31</x:v>
      </x:c>
    </x:row>
    <x:row r="376" ht="18" customHeight="1">
      <x:c r="A376" s="163" t="str">
        <x:v>SRC-0375</x:v>
      </x:c>
      <x:c r="B376" s="164" t="str">
        <x:v>https://www.petsmart.ca/hills-science-diet-urinary-hairball-control-adult-dry-cat-food---chicken-5355728.html</x:v>
      </x:c>
      <x:c r="C376" s="164" t="str">
        <x:v>Current retailer product page</x:v>
      </x:c>
      <x:c r="D376" s="164" t="str">
        <x:v>Tier 2 - retailer</x:v>
      </x:c>
      <x:c r="E376" s="164" t="str">
        <x:v>CA Hill's Science Diet: Hill's® Science Diet® Urinary Hairball Control Adult Dry Cat Food - Chicken</x:v>
      </x:c>
      <x:c r="F376" s="164" t="str">
        <x:v>SKU Library</x:v>
      </x:c>
      <x:c r="G376" s="167" t="str">
        <x:v>2026-08-31</x:v>
      </x:c>
    </x:row>
    <x:row r="377" ht="18" customHeight="1">
      <x:c r="A377" s="163" t="str">
        <x:v>SRC-0376</x:v>
      </x:c>
      <x:c r="B377" s="164" t="str">
        <x:v>https://www.petsmart.com/5306195.html</x:v>
      </x:c>
      <x:c r="C377" s="164" t="str">
        <x:v>Current retailer product page</x:v>
      </x:c>
      <x:c r="D377" s="164" t="str">
        <x:v>Tier 2 - retailer</x:v>
      </x:c>
      <x:c r="E377" s="164" t="str">
        <x:v>USA Hill's Science Diet: Hill's® Science Diet® Perfect Digestion Adult Dry Cat Food - Salmon</x:v>
      </x:c>
      <x:c r="F377" s="164" t="str">
        <x:v>SKU Library</x:v>
      </x:c>
      <x:c r="G377" s="167" t="str">
        <x:v>2026-08-31</x:v>
      </x:c>
    </x:row>
    <x:row r="378" ht="18" customHeight="1">
      <x:c r="A378" s="163" t="str">
        <x:v>SRC-0377</x:v>
      </x:c>
      <x:c r="B378" s="164" t="str">
        <x:v>https://www.petsmart.com/cat/food-and-treats/dry-food/hills-science-diet-perfect-digestion-adult-dry-cat-food---chicken-5303445.html</x:v>
      </x:c>
      <x:c r="C378" s="164" t="str">
        <x:v>Current retailer product page</x:v>
      </x:c>
      <x:c r="D378" s="164" t="str">
        <x:v>Tier 2 - retailer</x:v>
      </x:c>
      <x:c r="E378" s="164" t="str">
        <x:v>USA Hill's Science Diet: Hill's® Science Diet® Perfect Digestion Adult Dry Cat Food - Chicken</x:v>
      </x:c>
      <x:c r="F378" s="164" t="str">
        <x:v>SKU Library</x:v>
      </x:c>
      <x:c r="G378" s="167" t="str">
        <x:v>2026-08-31</x:v>
      </x:c>
    </x:row>
    <x:row r="379" ht="18" customHeight="1">
      <x:c r="A379" s="163" t="str">
        <x:v>SRC-0378</x:v>
      </x:c>
      <x:c r="B379" s="164" t="str">
        <x:v>https://www.petsmart.com/dog/food/canned-food/hills-science-diet-small-and-mini-puppy-wet-dog-food---beef-and-barley-entree-58-oz-76216.html</x:v>
      </x:c>
      <x:c r="C379" s="164" t="str">
        <x:v>Current retailer product page</x:v>
      </x:c>
      <x:c r="D379" s="164" t="str">
        <x:v>Tier 2 - retailer</x:v>
      </x:c>
      <x:c r="E379" s="164" t="str">
        <x:v>USA Hill's Science Diet: Hill's Science Diet Small &amp; Mini Puppy Wet Dog Food - Beef &amp; Barley Entree, 5.8 oz</x:v>
      </x:c>
      <x:c r="F379" s="164" t="str">
        <x:v>SKU Library</x:v>
      </x:c>
      <x:c r="G379" s="167" t="str">
        <x:v>2026-08-31</x:v>
      </x:c>
    </x:row>
    <x:row r="380" ht="18" customHeight="1">
      <x:c r="A380" s="163" t="str">
        <x:v>SRC-0379</x:v>
      </x:c>
      <x:c r="B380" s="164" t="str">
        <x:v>https://www.petsmart.com/dog/food/dry-food/hills-science-diet-perfect-weight-and-joint-support-adult-dry-dog-food---chicken-and-brown-rice-5339741.html</x:v>
      </x:c>
      <x:c r="C380" s="164" t="str">
        <x:v>Current retailer product page</x:v>
      </x:c>
      <x:c r="D380" s="164" t="str">
        <x:v>Tier 2 - retailer</x:v>
      </x:c>
      <x:c r="E380" s="164" t="str">
        <x:v>USA Hill's Science Diet: Hill's Science Diet Perfect Weight &amp; Joint Support Adult Dry Dog Food - Chicken &amp; Brown Rice</x:v>
      </x:c>
      <x:c r="F380" s="164" t="str">
        <x:v>SKU Library</x:v>
      </x:c>
      <x:c r="G380" s="167" t="str">
        <x:v>2026-08-31</x:v>
      </x:c>
    </x:row>
    <x:row r="381" ht="18" customHeight="1">
      <x:c r="A381" s="163" t="str">
        <x:v>SRC-0380</x:v>
      </x:c>
      <x:c r="B381" s="164" t="str">
        <x:v>https://www.petsmart.com/dog/food/veterinary-diets/hills-prescription-diet-hd-adult-dry-dog-food---heart-health-chicken-76177.html</x:v>
      </x:c>
      <x:c r="C381" s="164" t="str">
        <x:v>Current retailer product page</x:v>
      </x:c>
      <x:c r="D381" s="164" t="str">
        <x:v>Tier 2 - retailer</x:v>
      </x:c>
      <x:c r="E381" s="164" t="str">
        <x:v>USA Hill's Prescription Diet: Hill's Prescription Diet h/d Adult Dry Dog Food - Heart Health, Chicken</x:v>
      </x:c>
      <x:c r="F381" s="164" t="str">
        <x:v>SKU Library</x:v>
      </x:c>
      <x:c r="G381" s="167" t="str">
        <x:v>2026-08-31</x:v>
      </x:c>
    </x:row>
    <x:row r="382" ht="18" customHeight="1">
      <x:c r="A382" s="163" t="str">
        <x:v>SRC-0381</x:v>
      </x:c>
      <x:c r="B382" s="164" t="str">
        <x:v>https://www.petsmart.com/featured-brands/hills-science-diet</x:v>
      </x:c>
      <x:c r="C382" s="164" t="str">
        <x:v>Current retailer product page</x:v>
      </x:c>
      <x:c r="D382" s="164" t="str">
        <x:v>Tier 2 - retailer</x:v>
      </x:c>
      <x:c r="E382" s="164" t="str">
        <x:v>USA Hill's Science Diet: Hill's® Science Diet Pet Food</x:v>
      </x:c>
      <x:c r="F382" s="164" t="str">
        <x:v>SKU Library</x:v>
      </x:c>
      <x:c r="G382" s="167" t="str">
        <x:v>2026-08-31</x:v>
      </x:c>
    </x:row>
    <x:row r="383" ht="18" customHeight="1">
      <x:c r="A383" s="163" t="str">
        <x:v>SRC-0382</x:v>
      </x:c>
      <x:c r="B383" s="164" t="str">
        <x:v>https://www.petsmart.com/learning-center/dog-care/prescription-diets-for-pets-how-hills-prescription-diet-can-help</x:v>
      </x:c>
      <x:c r="C383" s="164" t="str">
        <x:v>Current retailer product page</x:v>
      </x:c>
      <x:c r="D383" s="164" t="str">
        <x:v>Tier 2 - retailer</x:v>
      </x:c>
      <x:c r="E383" s="164" t="str">
        <x:v>USA Hill's Prescription Diet: How Hill's Prescription Diet Can Help</x:v>
      </x:c>
      <x:c r="F383" s="164" t="str">
        <x:v>SKU Library</x:v>
      </x:c>
      <x:c r="G383" s="167" t="str">
        <x:v>2026-08-31</x:v>
      </x:c>
    </x:row>
    <x:row r="384" ht="18" customHeight="1">
      <x:c r="A384" s="163" t="str">
        <x:v>SRC-0383</x:v>
      </x:c>
      <x:c r="B384" s="164" t="str">
        <x:v>https://www.petsmart.com/SztoOngtcGV0bS1ib3Q9MSZ4LXBldG0tZGV2aWNlPW1vYmlsZTtjOngtcGV0bS1kZWNpc2lvbnM9e30meC1wZXRtLWV4cGVyaW1lbnQtdmVyc2lvbj1mdWxsc29sdXRpb24/dog/food/veterinary-diets/hills-prescription-diet-wd-digestiveweightglucose-management-adult-dog-food---chicken-2451.html?bvstate=pg%3A10%2Fct%3Ar&amp;redirected=true</x:v>
      </x:c>
      <x:c r="C384" s="164" t="str">
        <x:v>Current retailer product page</x:v>
      </x:c>
      <x:c r="D384" s="164" t="str">
        <x:v>Tier 2 - retailer</x:v>
      </x:c>
      <x:c r="E384" s="164" t="str">
        <x:v>USA Hill's Prescription Diet: Hill's® Prescription Diet® w/d Digestive/Weight/Glucose Management Adult Dog Food - Chicken</x:v>
      </x:c>
      <x:c r="F384" s="164" t="str">
        <x:v>SKU Library</x:v>
      </x:c>
      <x:c r="G384" s="167" t="str">
        <x:v>2026-08-31</x:v>
      </x:c>
    </x:row>
    <x:row r="385" ht="18" customHeight="1">
      <x:c r="A385" s="163" t="str">
        <x:v>SRC-0384</x:v>
      </x:c>
      <x:c r="B385" s="164" t="str">
        <x:v>https://www.petsmart.com/SztoOngtcGV0bS1ib3Q9MSZ4LXBldG0tZGV2aWNlPW1vYmlsZTtjOngtcGV0bS1kZWNpc2lvbnM9eyJhdXRvc2hpcF9mdWxmaWxsbWVudF9tZXRob2RzX3BkcF90aWxlX3Rlc3QiOiJ0aWxlIG9mZiIsInByb2R1Y3Rfc29ydCI6InBvcHVsYXJfZmlyc3QifSZ4LXBldG0tZXhwZXJpbWVudC12ZXJzaW9uPWZ1bGxzb2x1dGlvbg/dog/food/veterinary-diets/hills-prescription-diet-hd-adult-dry-dog-food---heart-health-chicken-76177.html?bvstate=pg%3A2%2Fct%3Ar&amp;redirected=true</x:v>
      </x:c>
      <x:c r="C385" s="164" t="str">
        <x:v>Current retailer product page</x:v>
      </x:c>
      <x:c r="D385" s="164" t="str">
        <x:v>Tier 2 - retailer</x:v>
      </x:c>
      <x:c r="E385" s="164" t="str">
        <x:v>USA Hill's Prescription Diet: Hill's Prescription Diet h/d Adult Dry Dog Food - Heart Health, Chicken</x:v>
      </x:c>
      <x:c r="F385" s="164" t="str">
        <x:v>SKU Library</x:v>
      </x:c>
      <x:c r="G385" s="167" t="str">
        <x:v>2026-08-31</x:v>
      </x:c>
    </x:row>
    <x:row r="386" ht="18" customHeight="1">
      <x:c r="A386" s="163" t="str">
        <x:v>SRC-0385</x:v>
      </x:c>
      <x:c r="B386" s="164" t="str">
        <x:v>https://www.petsmart.com/SztoOngtcGV0bS1ib3Q9MSZ4LXBldG0tZGV2aWNlPW1vYmlsZTtjOngtcGV0bS1kZWNpc2lvbnM9eyJhdXRvc2hpcF9mdWxmaWxsbWVudF9tZXRob2RzX3BkcF90aWxlX3Rlc3QiOiJ0aWxlIG9mZiJ9JngtcGV0bS1leHBlcmltZW50LXZlcnNpb249ZnVsbHNvbHV0aW9u/dog/food/veterinary-diets/hills-prescription-diet-wd-digestiveweightglucose-management-adult-dog-food---chicken-2451.html?bvstate=pg%3A18%2Fct%3Ar&amp;redirected=true</x:v>
      </x:c>
      <x:c r="C386" s="164" t="str">
        <x:v>Current retailer product page</x:v>
      </x:c>
      <x:c r="D386" s="164" t="str">
        <x:v>Tier 2 - retailer</x:v>
      </x:c>
      <x:c r="E386" s="164" t="str">
        <x:v>USA Hill's Prescription Diet: Hill's® Prescription Diet® w/d Digestive/Weight/Glucose Management Adult Dog Food - Chicken</x:v>
      </x:c>
      <x:c r="F386" s="164" t="str">
        <x:v>SKU Library</x:v>
      </x:c>
      <x:c r="G386" s="167" t="str">
        <x:v>2026-08-31</x:v>
      </x:c>
    </x:row>
    <x:row r="387" ht="18" customHeight="1">
      <x:c r="A387" s="163" t="str">
        <x:v>SRC-0386</x:v>
      </x:c>
      <x:c r="B387" s="164" t="str">
        <x:v>https://www.petsmart.com/SztoOngtcGV0bS1ib3Q9MSZ4LXBldG0tZGV2aWNlPW1vYmlsZTtjOngtcGV0bS1kZWNpc2lvbnM9eyJhX2Ffc2VydmVyX3NpZGVfbWV0cmljX3Rlc3QiOiJhbHBoYWJldGljYWwiLCJhdXRvc2hpcF9mdWxmaWxsbWVudF9tZXRob2RzX3BkcF90aWxlX3Rlc3QiOiJ0aWxlIG9mZiIsInByb2R1Y3Rfc29ydCI6InBvcHVsYXJfZmlyc3QifSZ4LXBldG0tZXhwZXJpbWVudC12ZXJzaW9uPWZ1bGxzb2x1dGlvbg/SztoOngtcGV0bS1ib3Q9MSZ4LXBldG0tZGV2aWNlPW1vYmlsZTtjOngtcGV0bS1kZWNpc2lvbnM9eyJhdXRvc2hpcF9mdWxmaWxsbWVudF9tZXRob2RzX3BkcF90aWxlX3Rlc3QiOiJ0aWxlIG9mZiIsInByb2R1Y3Rfc29ydCI6InBvcHVsYXJfZmlyc3QifSZ4LXBldG0tZXhwZXJpbWVudC12ZXJzaW9uPWZ1bGxzb2x1dGlvbg/cat/food-and-treats/veterinary-diets/hills-prescription-diet-kd-kidney-care-cat-food---chicken-1122.html?bvstate=pg%3A3%2Fct%3Ar&amp;redirected=true</x:v>
      </x:c>
      <x:c r="C387" s="164" t="str">
        <x:v>Current retailer product page</x:v>
      </x:c>
      <x:c r="D387" s="164" t="str">
        <x:v>Tier 2 - retailer</x:v>
      </x:c>
      <x:c r="E387" s="164" t="str">
        <x:v>USA Hill's Prescription Diet: Hill's® Prescription Diet® k/d Kidney Care Cat Food - Chicken</x:v>
      </x:c>
      <x:c r="F387" s="164" t="str">
        <x:v>SKU Library</x:v>
      </x:c>
      <x:c r="G387" s="167" t="str">
        <x:v>2026-08-31</x:v>
      </x:c>
    </x:row>
    <x:row r="388" ht="18" customHeight="1">
      <x:c r="A388" s="163" t="str">
        <x:v>SRC-0387</x:v>
      </x:c>
      <x:c r="B388" s="164" t="str">
        <x:v>https://www.softsoap.com/</x:v>
      </x:c>
      <x:c r="C388" s="164" t="str">
        <x:v>Official brand/corporate page</x:v>
      </x:c>
      <x:c r="D388" s="164" t="str">
        <x:v>Tier 1 - first party</x:v>
      </x:c>
      <x:c r="E388" s="164" t="str">
        <x:v>Positioning, assets and innovation themes</x:v>
      </x:c>
      <x:c r="F388" s="164" t="str">
        <x:v>Brand Repository: USA Softsoap; Brand Repository: CA Softsoap</x:v>
      </x:c>
      <x:c r="G388" s="167" t="str">
        <x:v>2026-08-31</x:v>
      </x:c>
    </x:row>
    <x:row r="389" ht="18" customHeight="1">
      <x:c r="A389" s="163" t="str">
        <x:v>SRC-0388</x:v>
      </x:c>
      <x:c r="B389" s="164" t="str">
        <x:v>https://www.softsoap.com/en-us</x:v>
      </x:c>
      <x:c r="C389" s="164" t="str">
        <x:v>Official product page</x:v>
      </x:c>
      <x:c r="D389" s="164" t="str">
        <x:v>Tier 1 - first party</x:v>
      </x:c>
      <x:c r="E389" s="164" t="str">
        <x:v>USA Softsoap: Hand Soap &amp; Body Wash</x:v>
      </x:c>
      <x:c r="F389" s="164" t="str">
        <x:v>SKU Library</x:v>
      </x:c>
      <x:c r="G389" s="167" t="str">
        <x:v>2026-08-31</x:v>
      </x:c>
    </x:row>
    <x:row r="390" ht="18" customHeight="1">
      <x:c r="A390" s="163" t="str">
        <x:v>SRC-0389</x:v>
      </x:c>
      <x:c r="B390" s="164" t="str">
        <x:v>https://www.softsoap.com/en-us/hand-soap/products/crisp-clean-soap-antibacterial?bvstate=pg%3A2%2Fct%3Ar&amp;result=</x:v>
      </x:c>
      <x:c r="C390" s="164" t="str">
        <x:v>Official product page</x:v>
      </x:c>
      <x:c r="D390" s="164" t="str">
        <x:v>Tier 1 - first party</x:v>
      </x:c>
      <x:c r="E390" s="164" t="str">
        <x:v>USA Softsoap: Antibacterial Crisp Clean Scent Liquid Hand Soap</x:v>
      </x:c>
      <x:c r="F390" s="164" t="str">
        <x:v>SKU Library</x:v>
      </x:c>
      <x:c r="G390" s="167" t="str">
        <x:v>2026-08-31</x:v>
      </x:c>
    </x:row>
    <x:row r="391" ht="18" customHeight="1">
      <x:c r="A391" s="163" t="str">
        <x:v>SRC-0390</x:v>
      </x:c>
      <x:c r="B391" s="164" t="str">
        <x:v>https://www.softsoap.com/en-us/products</x:v>
      </x:c>
      <x:c r="C391" s="164" t="str">
        <x:v>Official catalog listing</x:v>
      </x:c>
      <x:c r="D391" s="164" t="str">
        <x:v>Tier 1 - first party</x:v>
      </x:c>
      <x:c r="E391" s="164" t="str">
        <x:v>USA Softsoap: antibacterial-kitchen-fresh</x:v>
      </x:c>
      <x:c r="F391" s="164" t="str">
        <x:v>SKU Library</x:v>
      </x:c>
      <x:c r="G391" s="167" t="str">
        <x:v>2026-08-31</x:v>
      </x:c>
    </x:row>
    <x:row r="392" ht="18" customHeight="1">
      <x:c r="A392" s="163" t="str">
        <x:v>SRC-0391</x:v>
      </x:c>
      <x:c r="B392" s="164" t="str">
        <x:v>https://www.softsoap.com/en-us/products/body-wash/amalfi-orchards?bvstate=pg%3A2%2Fct%3Ar</x:v>
      </x:c>
      <x:c r="C392" s="164" t="str">
        <x:v>Availability evidence</x:v>
      </x:c>
      <x:c r="D392" s="164" t="str">
        <x:v>Tier 1</x:v>
      </x:c>
      <x:c r="E392" s="164" t="str">
        <x:v>Market presence</x:v>
      </x:c>
      <x:c r="F392" s="164" t="str">
        <x:v>Brand Repository: USA Softsoap; SKU Library</x:v>
      </x:c>
      <x:c r="G392" s="167" t="str">
        <x:v>2026-08-31</x:v>
      </x:c>
    </x:row>
    <x:row r="393" ht="18" customHeight="1">
      <x:c r="A393" s="163" t="str">
        <x:v>SRC-0392</x:v>
      </x:c>
      <x:c r="B393" s="164" t="str">
        <x:v>https://www.softsoap.com/en-us/products/body-wash/coconut-butter</x:v>
      </x:c>
      <x:c r="C393" s="164" t="str">
        <x:v>Official product page</x:v>
      </x:c>
      <x:c r="D393" s="164" t="str">
        <x:v>Tier 1 - first party</x:v>
      </x:c>
      <x:c r="E393" s="164" t="str">
        <x:v>USA Softsoap: Coconut Butter Scent Body Wash</x:v>
      </x:c>
      <x:c r="F393" s="164" t="str">
        <x:v>SKU Library</x:v>
      </x:c>
      <x:c r="G393" s="167" t="str">
        <x:v>2026-08-31</x:v>
      </x:c>
    </x:row>
    <x:row r="394" ht="18" customHeight="1">
      <x:c r="A394" s="163" t="str">
        <x:v>SRC-0393</x:v>
      </x:c>
      <x:c r="B394" s="164" t="str">
        <x:v>https://www.softsoap.com/en-us/products/body-wash/coconut-oil-lavender</x:v>
      </x:c>
      <x:c r="C394" s="164" t="str">
        <x:v>Official product page</x:v>
      </x:c>
      <x:c r="D394" s="164" t="str">
        <x:v>Tier 1 - first party</x:v>
      </x:c>
      <x:c r="E394" s="164" t="str">
        <x:v>USA Softsoap: Coconut Oil &amp; Calming Lavender Body Wash</x:v>
      </x:c>
      <x:c r="F394" s="164" t="str">
        <x:v>SKU Library</x:v>
      </x:c>
      <x:c r="G394" s="167" t="str">
        <x:v>2026-08-31</x:v>
      </x:c>
    </x:row>
    <x:row r="395" ht="18" customHeight="1">
      <x:c r="A395" s="163" t="str">
        <x:v>SRC-0394</x:v>
      </x:c>
      <x:c r="B395" s="164" t="str">
        <x:v>https://www.softsoap.com/en-us/products/body-wash/luxurious-hydration-peach-ginger-oat-milk</x:v>
      </x:c>
      <x:c r="C395" s="164" t="str">
        <x:v>Official product page</x:v>
      </x:c>
      <x:c r="D395" s="164" t="str">
        <x:v>Tier 1 - first party</x:v>
      </x:c>
      <x:c r="E395" s="164" t="str">
        <x:v>USA Softsoap: Luxurious Hydration Peach, Ginger, &amp; Oat Milk Scent Moisturizing Body Wash</x:v>
      </x:c>
      <x:c r="F395" s="164" t="str">
        <x:v>SKU Library</x:v>
      </x:c>
      <x:c r="G395" s="167" t="str">
        <x:v>2026-08-31</x:v>
      </x:c>
    </x:row>
    <x:row r="396" ht="18" customHeight="1">
      <x:c r="A396" s="163" t="str">
        <x:v>SRC-0395</x:v>
      </x:c>
      <x:c r="B396" s="164" t="str">
        <x:v>https://www.softsoap.com/en-us/products/body-wash/moisturizing</x:v>
      </x:c>
      <x:c r="C396" s="164" t="str">
        <x:v>Official product page</x:v>
      </x:c>
      <x:c r="D396" s="164" t="str">
        <x:v>Tier 1 - first party</x:v>
      </x:c>
      <x:c r="E396" s="164" t="str">
        <x:v>USA Softsoap: Moisturizing Body Wash</x:v>
      </x:c>
      <x:c r="F396" s="164" t="str">
        <x:v>SKU Library</x:v>
      </x:c>
      <x:c r="G396" s="167" t="str">
        <x:v>2026-08-31</x:v>
      </x:c>
    </x:row>
    <x:row r="397" ht="18" customHeight="1">
      <x:c r="A397" s="163" t="str">
        <x:v>SRC-0396</x:v>
      </x:c>
      <x:c r="B397" s="164" t="str">
        <x:v>https://www.softsoap.com/en-us/products/body-wash/pink-rose-sweet-vanilla</x:v>
      </x:c>
      <x:c r="C397" s="164" t="str">
        <x:v>Official product page</x:v>
      </x:c>
      <x:c r="D397" s="164" t="str">
        <x:v>Tier 1 - first party</x:v>
      </x:c>
      <x:c r="E397" s="164" t="str">
        <x:v>USA Softsoap: Pink Rose &amp; Sweet Vanilla Body Wash</x:v>
      </x:c>
      <x:c r="F397" s="164" t="str">
        <x:v>SKU Library</x:v>
      </x:c>
      <x:c r="G397" s="167" t="str">
        <x:v>2026-08-31</x:v>
      </x:c>
    </x:row>
    <x:row r="398" ht="18" customHeight="1">
      <x:c r="A398" s="163" t="str">
        <x:v>SRC-0397</x:v>
      </x:c>
      <x:c r="B398" s="164" t="str">
        <x:v>https://www.softsoap.com/en-us/products/body-wash/scent-experience</x:v>
      </x:c>
      <x:c r="C398" s="164" t="str">
        <x:v>Official product page</x:v>
      </x:c>
      <x:c r="D398" s="164" t="str">
        <x:v>Tier 1 - first party</x:v>
      </x:c>
      <x:c r="E398" s="164" t="str">
        <x:v>USA Softsoap: Scent Experience Body Wash</x:v>
      </x:c>
      <x:c r="F398" s="164" t="str">
        <x:v>SKU Library</x:v>
      </x:c>
      <x:c r="G398" s="167" t="str">
        <x:v>2026-08-31</x:v>
      </x:c>
    </x:row>
    <x:row r="399" ht="18" customHeight="1">
      <x:c r="A399" s="163" t="str">
        <x:v>SRC-0398</x:v>
      </x:c>
      <x:c r="B399" s="164" t="str">
        <x:v>https://www.softsoap.com/en-us/products/body-wash/seasonal</x:v>
      </x:c>
      <x:c r="C399" s="164" t="str">
        <x:v>Official product page</x:v>
      </x:c>
      <x:c r="D399" s="164" t="str">
        <x:v>Tier 1 - first party</x:v>
      </x:c>
      <x:c r="E399" s="164" t="str">
        <x:v>USA Softsoap: Seasonal Body Wash</x:v>
      </x:c>
      <x:c r="F399" s="164" t="str">
        <x:v>SKU Library</x:v>
      </x:c>
      <x:c r="G399" s="167" t="str">
        <x:v>2026-08-31</x:v>
      </x:c>
    </x:row>
    <x:row r="400" ht="18" customHeight="1">
      <x:c r="A400" s="163" t="str">
        <x:v>SRC-0399</x:v>
      </x:c>
      <x:c r="B400" s="164" t="str">
        <x:v>https://www.softsoap.com/en-us/products/body-wash/vanilla-jojoba-oil</x:v>
      </x:c>
      <x:c r="C400" s="164" t="str">
        <x:v>Official product page</x:v>
      </x:c>
      <x:c r="D400" s="164" t="str">
        <x:v>Tier 1 - first party</x:v>
      </x:c>
      <x:c r="E400" s="164" t="str">
        <x:v>USA Softsoap: Warm Vanilla &amp; Jojoba Oil Body Wash</x:v>
      </x:c>
      <x:c r="F400" s="164" t="str">
        <x:v>SKU Library</x:v>
      </x:c>
      <x:c r="G400" s="167" t="str">
        <x:v>2026-08-31</x:v>
      </x:c>
    </x:row>
    <x:row r="401" ht="18" customHeight="1">
      <x:c r="A401" s="163" t="str">
        <x:v>SRC-0400</x:v>
      </x:c>
      <x:c r="B401" s="164" t="str">
        <x:v>https://www.softsoap.com/en-us/products/citrus</x:v>
      </x:c>
      <x:c r="C401" s="164" t="str">
        <x:v>Official product page</x:v>
      </x:c>
      <x:c r="D401" s="164" t="str">
        <x:v>Tier 1 - first party</x:v>
      </x:c>
      <x:c r="E401" s="164" t="str">
        <x:v>USA Softsoap: Citrus Scents for Hand Soap &amp; Body Wash</x:v>
      </x:c>
      <x:c r="F401" s="164" t="str">
        <x:v>SKU Library</x:v>
      </x:c>
      <x:c r="G401" s="167" t="str">
        <x:v>2026-08-31</x:v>
      </x:c>
    </x:row>
    <x:row r="402" ht="18" customHeight="1">
      <x:c r="A402" s="163" t="str">
        <x:v>SRC-0401</x:v>
      </x:c>
      <x:c r="B402" s="164" t="str">
        <x:v>https://www.softsoap.com/en-us/products/floral</x:v>
      </x:c>
      <x:c r="C402" s="164" t="str">
        <x:v>Official product page</x:v>
      </x:c>
      <x:c r="D402" s="164" t="str">
        <x:v>Tier 1 - first party</x:v>
      </x:c>
      <x:c r="E402" s="164" t="str">
        <x:v>USA Softsoap: Floral Scents for Hand Soap &amp; Body Wash</x:v>
      </x:c>
      <x:c r="F402" s="164" t="str">
        <x:v>SKU Library</x:v>
      </x:c>
      <x:c r="G402" s="167" t="str">
        <x:v>2026-08-31</x:v>
      </x:c>
    </x:row>
    <x:row r="403" ht="18" customHeight="1">
      <x:c r="A403" s="163" t="str">
        <x:v>SRC-0402</x:v>
      </x:c>
      <x:c r="B403" s="164" t="str">
        <x:v>https://www.softsoap.com/en-us/products/for-fragrance-lovers</x:v>
      </x:c>
      <x:c r="C403" s="164" t="str">
        <x:v>Official product page</x:v>
      </x:c>
      <x:c r="D403" s="164" t="str">
        <x:v>Tier 1 - first party</x:v>
      </x:c>
      <x:c r="E403" s="164" t="str">
        <x:v>USA Softsoap: Fragrance Lovers' Collection for Hand Soap &amp; Body Wash</x:v>
      </x:c>
      <x:c r="F403" s="164" t="str">
        <x:v>SKU Library</x:v>
      </x:c>
      <x:c r="G403" s="167" t="str">
        <x:v>2026-08-31</x:v>
      </x:c>
    </x:row>
    <x:row r="404" ht="18" customHeight="1">
      <x:c r="A404" s="163" t="str">
        <x:v>SRC-0403</x:v>
      </x:c>
      <x:c r="B404" s="164" t="str">
        <x:v>https://www.softsoap.com/en-us/products/fresh</x:v>
      </x:c>
      <x:c r="C404" s="164" t="str">
        <x:v>Official product page</x:v>
      </x:c>
      <x:c r="D404" s="164" t="str">
        <x:v>Tier 1 - first party</x:v>
      </x:c>
      <x:c r="E404" s="164" t="str">
        <x:v>USA Softsoap: Fresh Scents for Hand Soap &amp; Body Wash</x:v>
      </x:c>
      <x:c r="F404" s="164" t="str">
        <x:v>SKU Library</x:v>
      </x:c>
      <x:c r="G404" s="167" t="str">
        <x:v>2026-08-31</x:v>
      </x:c>
    </x:row>
    <x:row r="405" ht="18" customHeight="1">
      <x:c r="A405" s="163" t="str">
        <x:v>SRC-0404</x:v>
      </x:c>
      <x:c r="B405" s="164" t="str">
        <x:v>https://www.softsoap.com/en-us/products/fruity</x:v>
      </x:c>
      <x:c r="C405" s="164" t="str">
        <x:v>Official product page</x:v>
      </x:c>
      <x:c r="D405" s="164" t="str">
        <x:v>Tier 1 - first party</x:v>
      </x:c>
      <x:c r="E405" s="164" t="str">
        <x:v>USA Softsoap: Fruity Scents for Hand Soap &amp; Body Wash</x:v>
      </x:c>
      <x:c r="F405" s="164" t="str">
        <x:v>SKU Library</x:v>
      </x:c>
      <x:c r="G405" s="167" t="str">
        <x:v>2026-08-31</x:v>
      </x:c>
    </x:row>
    <x:row r="406" ht="18" customHeight="1">
      <x:c r="A406" s="163" t="str">
        <x:v>SRC-0405</x:v>
      </x:c>
      <x:c r="B406" s="164" t="str">
        <x:v>https://www.softsoap.com/en-us/products/hand-soap</x:v>
      </x:c>
      <x:c r="C406" s="164" t="str">
        <x:v>Official catalog listing</x:v>
      </x:c>
      <x:c r="D406" s="164" t="str">
        <x:v>Tier 1 - first party</x:v>
      </x:c>
      <x:c r="E406" s="164" t="str">
        <x:v>USA Softsoap: WELCOME TO THE SOFTSOAP WORLD OF DELIGHTS</x:v>
      </x:c>
      <x:c r="F406" s="164" t="str">
        <x:v>SKU Library</x:v>
      </x:c>
      <x:c r="G406" s="167" t="str">
        <x:v>2026-08-31</x:v>
      </x:c>
    </x:row>
    <x:row r="407" ht="18" customHeight="1">
      <x:c r="A407" s="163" t="str">
        <x:v>SRC-0406</x:v>
      </x:c>
      <x:c r="B407" s="164" t="str">
        <x:v>https://www.softsoap.com/en-us/products/hand-soap?pr_rd_page=1&amp;bvstate=pg:4/ct:r</x:v>
      </x:c>
      <x:c r="C407" s="164" t="str">
        <x:v>Official catalog listing</x:v>
      </x:c>
      <x:c r="D407" s="164" t="str">
        <x:v>Tier 1 - first party</x:v>
      </x:c>
      <x:c r="E407" s="164" t="str">
        <x:v>USA Softsoap: Antibacterial Clean &amp; Protect Cool Splash Scent Liquid Hand Soap</x:v>
      </x:c>
      <x:c r="F407" s="164" t="str">
        <x:v>SKU Library</x:v>
      </x:c>
      <x:c r="G407" s="167" t="str">
        <x:v>2026-08-31</x:v>
      </x:c>
    </x:row>
    <x:row r="408" ht="18" customHeight="1">
      <x:c r="A408" s="163" t="str">
        <x:v>SRC-0407</x:v>
      </x:c>
      <x:c r="B408" s="164" t="str">
        <x:v>https://www.softsoap.com/en-us/products/hand-soap/antibacterial</x:v>
      </x:c>
      <x:c r="C408" s="164" t="str">
        <x:v>Official product page</x:v>
      </x:c>
      <x:c r="D408" s="164" t="str">
        <x:v>Tier 1 - first party</x:v>
      </x:c>
      <x:c r="E408" s="164" t="str">
        <x:v>USA Softsoap: Antibacterial Hand Soap</x:v>
      </x:c>
      <x:c r="F408" s="164" t="str">
        <x:v>SKU Library</x:v>
      </x:c>
      <x:c r="G408" s="167" t="str">
        <x:v>2026-08-31</x:v>
      </x:c>
    </x:row>
    <x:row r="409" ht="18" customHeight="1">
      <x:c r="A409" s="163" t="str">
        <x:v>SRC-0408</x:v>
      </x:c>
      <x:c r="B409" s="164" t="str">
        <x:v>https://www.softsoap.com/en-us/products/hand-soap/antibacterial-fresh-citrus</x:v>
      </x:c>
      <x:c r="C409" s="164" t="str">
        <x:v>Official product page</x:v>
      </x:c>
      <x:c r="D409" s="164" t="str">
        <x:v>Tier 1 - first party</x:v>
      </x:c>
      <x:c r="E409" s="164" t="str">
        <x:v>USA Softsoap: Antibacterial Fresh Citrus Scent Liquid Hand Soap</x:v>
      </x:c>
      <x:c r="F409" s="164" t="str">
        <x:v>SKU Library</x:v>
      </x:c>
      <x:c r="G409" s="167" t="str">
        <x:v>2026-08-31</x:v>
      </x:c>
    </x:row>
    <x:row r="410" ht="18" customHeight="1">
      <x:c r="A410" s="163" t="str">
        <x:v>SRC-0409</x:v>
      </x:c>
      <x:c r="B410" s="164" t="str">
        <x:v>https://www.softsoap.com/en-us/products/hand-soap/blueberry</x:v>
      </x:c>
      <x:c r="C410" s="164" t="str">
        <x:v>Official product page</x:v>
      </x:c>
      <x:c r="D410" s="164" t="str">
        <x:v>Tier 1 - first party</x:v>
      </x:c>
      <x:c r="E410" s="164" t="str">
        <x:v>USA Softsoap: Blueberry Scent Seasonal Liquid Hand Soap</x:v>
      </x:c>
      <x:c r="F410" s="164" t="str">
        <x:v>SKU Library</x:v>
      </x:c>
      <x:c r="G410" s="167" t="str">
        <x:v>2026-08-31</x:v>
      </x:c>
    </x:row>
    <x:row r="411" ht="18" customHeight="1">
      <x:c r="A411" s="163" t="str">
        <x:v>SRC-0410</x:v>
      </x:c>
      <x:c r="B411" s="164" t="str">
        <x:v>https://www.softsoap.com/en-us/products/hand-soap/caramelized-coconut-vanilla</x:v>
      </x:c>
      <x:c r="C411" s="164" t="str">
        <x:v>Official product page</x:v>
      </x:c>
      <x:c r="D411" s="164" t="str">
        <x:v>Tier 1 - first party</x:v>
      </x:c>
      <x:c r="E411" s="164" t="str">
        <x:v>USA Softsoap: Caramelized Coconut &amp; Vanilla Foaming Hand Soap</x:v>
      </x:c>
      <x:c r="F411" s="164" t="str">
        <x:v>SKU Library</x:v>
      </x:c>
      <x:c r="G411" s="167" t="str">
        <x:v>2026-08-31</x:v>
      </x:c>
    </x:row>
    <x:row r="412" ht="18" customHeight="1">
      <x:c r="A412" s="163" t="str">
        <x:v>SRC-0411</x:v>
      </x:c>
      <x:c r="B412" s="164" t="str">
        <x:v>https://www.softsoap.com/en-us/products/hand-soap/cherry-blossom</x:v>
      </x:c>
      <x:c r="C412" s="164" t="str">
        <x:v>Official product page</x:v>
      </x:c>
      <x:c r="D412" s="164" t="str">
        <x:v>Tier 1 - first party</x:v>
      </x:c>
      <x:c r="E412" s="164" t="str">
        <x:v>USA Softsoap: Cherry Blossom Scent Seasonal Liquid Hand Soap</x:v>
      </x:c>
      <x:c r="F412" s="164" t="str">
        <x:v>SKU Library</x:v>
      </x:c>
      <x:c r="G412" s="167" t="str">
        <x:v>2026-08-31</x:v>
      </x:c>
    </x:row>
    <x:row r="413" ht="18" customHeight="1">
      <x:c r="A413" s="163" t="str">
        <x:v>SRC-0412</x:v>
      </x:c>
      <x:c r="B413" s="164" t="str">
        <x:v>https://www.softsoap.com/en-us/products/hand-soap/coconut-hibiscus</x:v>
      </x:c>
      <x:c r="C413" s="164" t="str">
        <x:v>Official product page</x:v>
      </x:c>
      <x:c r="D413" s="164" t="str">
        <x:v>Tier 1 - first party</x:v>
      </x:c>
      <x:c r="E413" s="164" t="str">
        <x:v>USA Softsoap: Coconut &amp; Hibiscus Scent Liquid Hand Soap</x:v>
      </x:c>
      <x:c r="F413" s="164" t="str">
        <x:v>SKU Library</x:v>
      </x:c>
      <x:c r="G413" s="167" t="str">
        <x:v>2026-08-31</x:v>
      </x:c>
    </x:row>
    <x:row r="414" ht="18" customHeight="1">
      <x:c r="A414" s="163" t="str">
        <x:v>SRC-0413</x:v>
      </x:c>
      <x:c r="B414" s="164" t="str">
        <x:v>https://www.softsoap.com/en-us/products/hand-soap/coconut-scent</x:v>
      </x:c>
      <x:c r="C414" s="164" t="str">
        <x:v>Official product page</x:v>
      </x:c>
      <x:c r="D414" s="164" t="str">
        <x:v>Tier 1 - first party</x:v>
      </x:c>
      <x:c r="E414" s="164" t="str">
        <x:v>USA Softsoap: Coconut Scent Seasonal Liquid Hand Soap</x:v>
      </x:c>
      <x:c r="F414" s="164" t="str">
        <x:v>SKU Library</x:v>
      </x:c>
      <x:c r="G414" s="167" t="str">
        <x:v>2026-08-31</x:v>
      </x:c>
    </x:row>
    <x:row r="415" ht="18" customHeight="1">
      <x:c r="A415" s="163" t="str">
        <x:v>SRC-0414</x:v>
      </x:c>
      <x:c r="B415" s="164" t="str">
        <x:v>https://www.softsoap.com/en-us/products/hand-soap/coconut-vanilla-scent</x:v>
      </x:c>
      <x:c r="C415" s="164" t="str">
        <x:v>Official product page</x:v>
      </x:c>
      <x:c r="D415" s="164" t="str">
        <x:v>Tier 1 - first party</x:v>
      </x:c>
      <x:c r="E415" s="164" t="str">
        <x:v>USA Softsoap: Coconut Vanilla Scent Seasonal Liquid Hand Soap</x:v>
      </x:c>
      <x:c r="F415" s="164" t="str">
        <x:v>SKU Library</x:v>
      </x:c>
      <x:c r="G415" s="167" t="str">
        <x:v>2026-08-31</x:v>
      </x:c>
    </x:row>
    <x:row r="416" ht="18" customHeight="1">
      <x:c r="A416" s="163" t="str">
        <x:v>SRC-0415</x:v>
      </x:c>
      <x:c r="B416" s="164" t="str">
        <x:v>https://www.softsoap.com/en-us/products/hand-soap/golden-apple</x:v>
      </x:c>
      <x:c r="C416" s="164" t="str">
        <x:v>Official product page</x:v>
      </x:c>
      <x:c r="D416" s="164" t="str">
        <x:v>Tier 1 - first party</x:v>
      </x:c>
      <x:c r="E416" s="164" t="str">
        <x:v>USA Softsoap: Golden Apple Scent Seasonal Liquid Hand Soap</x:v>
      </x:c>
      <x:c r="F416" s="164" t="str">
        <x:v>SKU Library</x:v>
      </x:c>
      <x:c r="G416" s="167" t="str">
        <x:v>2026-08-31</x:v>
      </x:c>
    </x:row>
    <x:row r="417" ht="18" customHeight="1">
      <x:c r="A417" s="163" t="str">
        <x:v>SRC-0416</x:v>
      </x:c>
      <x:c r="B417" s="164" t="str">
        <x:v>https://www.softsoap.com/en-us/products/hand-soap/juicy-peach</x:v>
      </x:c>
      <x:c r="C417" s="164" t="str">
        <x:v>Official product page</x:v>
      </x:c>
      <x:c r="D417" s="164" t="str">
        <x:v>Tier 1 - first party</x:v>
      </x:c>
      <x:c r="E417" s="164" t="str">
        <x:v>USA Softsoap: Juicy Peach Scent Liquid Hand Soap</x:v>
      </x:c>
      <x:c r="F417" s="164" t="str">
        <x:v>SKU Library</x:v>
      </x:c>
      <x:c r="G417" s="167" t="str">
        <x:v>2026-08-31</x:v>
      </x:c>
    </x:row>
    <x:row r="418" ht="18" customHeight="1">
      <x:c r="A418" s="163" t="str">
        <x:v>SRC-0417</x:v>
      </x:c>
      <x:c r="B418" s="164" t="str">
        <x:v>https://www.softsoap.com/en-us/products/hand-soap/mango-scent</x:v>
      </x:c>
      <x:c r="C418" s="164" t="str">
        <x:v>Official product page</x:v>
      </x:c>
      <x:c r="D418" s="164" t="str">
        <x:v>Tier 1 - first party</x:v>
      </x:c>
      <x:c r="E418" s="164" t="str">
        <x:v>USA Softsoap: Mango Scent Seasonal Liquid Hand Soap</x:v>
      </x:c>
      <x:c r="F418" s="164" t="str">
        <x:v>SKU Library</x:v>
      </x:c>
      <x:c r="G418" s="167" t="str">
        <x:v>2026-08-31</x:v>
      </x:c>
    </x:row>
    <x:row r="419" ht="18" customHeight="1">
      <x:c r="A419" s="163" t="str">
        <x:v>SRC-0418</x:v>
      </x:c>
      <x:c r="B419" s="164" t="str">
        <x:v>https://www.softsoap.com/en-us/products/hand-soap/pacific-sunset</x:v>
      </x:c>
      <x:c r="C419" s="164" t="str">
        <x:v>Official product page</x:v>
      </x:c>
      <x:c r="D419" s="164" t="str">
        <x:v>Tier 1 - first party</x:v>
      </x:c>
      <x:c r="E419" s="164" t="str">
        <x:v>USA Softsoap: Limited Edition Pacific Sunset Foaming Hand Soap</x:v>
      </x:c>
      <x:c r="F419" s="164" t="str">
        <x:v>SKU Library</x:v>
      </x:c>
      <x:c r="G419" s="167" t="str">
        <x:v>2026-08-31</x:v>
      </x:c>
    </x:row>
    <x:row r="420" ht="18" customHeight="1">
      <x:c r="A420" s="163" t="str">
        <x:v>SRC-0419</x:v>
      </x:c>
      <x:c r="B420" s="164" t="str">
        <x:v>https://www.softsoap.com/en-us/products/hand-soap/renewed?bvstate=pg%3A2%2Fct%3Ar</x:v>
      </x:c>
      <x:c r="C420" s="164" t="str">
        <x:v>Official product page</x:v>
      </x:c>
      <x:c r="D420" s="164" t="str">
        <x:v>Tier 1 - first party</x:v>
      </x:c>
      <x:c r="E420" s="164" t="str">
        <x:v>USA Softsoap: Renewed Liquid Hand Soap</x:v>
      </x:c>
      <x:c r="F420" s="164" t="str">
        <x:v>SKU Library</x:v>
      </x:c>
      <x:c r="G420" s="167" t="str">
        <x:v>2026-08-31</x:v>
      </x:c>
    </x:row>
    <x:row r="421" ht="18" customHeight="1">
      <x:c r="A421" s="163" t="str">
        <x:v>SRC-0420</x:v>
      </x:c>
      <x:c r="B421" s="164" t="str">
        <x:v>https://www.softsoap.com/en-us/products/hand-soap/scent-experience</x:v>
      </x:c>
      <x:c r="C421" s="164" t="str">
        <x:v>Official product page</x:v>
      </x:c>
      <x:c r="D421" s="164" t="str">
        <x:v>Tier 1 - first party</x:v>
      </x:c>
      <x:c r="E421" s="164" t="str">
        <x:v>USA Softsoap: Scent Experience Hand Soap</x:v>
      </x:c>
      <x:c r="F421" s="164" t="str">
        <x:v>SKU Library</x:v>
      </x:c>
      <x:c r="G421" s="167" t="str">
        <x:v>2026-08-31</x:v>
      </x:c>
    </x:row>
    <x:row r="422" ht="18" customHeight="1">
      <x:c r="A422" s="163" t="str">
        <x:v>SRC-0421</x:v>
      </x:c>
      <x:c r="B422" s="164" t="str">
        <x:v>https://www.softsoap.com/en-us/products/hand-soap/seasonal</x:v>
      </x:c>
      <x:c r="C422" s="164" t="str">
        <x:v>Official product page</x:v>
      </x:c>
      <x:c r="D422" s="164" t="str">
        <x:v>Tier 1 - first party</x:v>
      </x:c>
      <x:c r="E422" s="164" t="str">
        <x:v>USA Softsoap: Seasonal Hand Soap</x:v>
      </x:c>
      <x:c r="F422" s="164" t="str">
        <x:v>SKU Library</x:v>
      </x:c>
      <x:c r="G422" s="167" t="str">
        <x:v>2026-08-31</x:v>
      </x:c>
    </x:row>
    <x:row r="423" ht="18" customHeight="1">
      <x:c r="A423" s="163" t="str">
        <x:v>SRC-0422</x:v>
      </x:c>
      <x:c r="B423" s="164" t="str">
        <x:v>https://www.softsoap.com/en-us/products/hand-soap/soothing-clean</x:v>
      </x:c>
      <x:c r="C423" s="164" t="str">
        <x:v>Official product page</x:v>
      </x:c>
      <x:c r="D423" s="164" t="str">
        <x:v>Tier 1 - first party</x:v>
      </x:c>
      <x:c r="E423" s="164" t="str">
        <x:v>USA Softsoap: Soothing Clean Aloe Vera Fresh Scent Liquid Hand Soap</x:v>
      </x:c>
      <x:c r="F423" s="164" t="str">
        <x:v>SKU Library</x:v>
      </x:c>
      <x:c r="G423" s="167" t="str">
        <x:v>2026-08-31</x:v>
      </x:c>
    </x:row>
    <x:row r="424" ht="18" customHeight="1">
      <x:c r="A424" s="163" t="str">
        <x:v>SRC-0423</x:v>
      </x:c>
      <x:c r="B424" s="164" t="str">
        <x:v>https://www.softsoap.com/en-us/products/hand-soap/twilight-berry-shea</x:v>
      </x:c>
      <x:c r="C424" s="164" t="str">
        <x:v>Official product page</x:v>
      </x:c>
      <x:c r="D424" s="164" t="str">
        <x:v>Tier 1 - first party</x:v>
      </x:c>
      <x:c r="E424" s="164" t="str">
        <x:v>USA Softsoap: Twilight Berry &amp; Shea Foaming Hand Soap</x:v>
      </x:c>
      <x:c r="F424" s="164" t="str">
        <x:v>SKU Library</x:v>
      </x:c>
      <x:c r="G424" s="167" t="str">
        <x:v>2026-08-31</x:v>
      </x:c>
    </x:row>
    <x:row r="425" ht="18" customHeight="1">
      <x:c r="A425" s="163" t="str">
        <x:v>SRC-0424</x:v>
      </x:c>
      <x:c r="B425" s="164" t="str">
        <x:v>https://www.softsoap.com/en-us/products/hand-soap/vanilla-coconut-milk</x:v>
      </x:c>
      <x:c r="C425" s="164" t="str">
        <x:v>Official product page</x:v>
      </x:c>
      <x:c r="D425" s="164" t="str">
        <x:v>Tier 1 - first party</x:v>
      </x:c>
      <x:c r="E425" s="164" t="str">
        <x:v>USA Softsoap: Warm Vanilla &amp; Coconut Milk Scent Liquid Hand Soap</x:v>
      </x:c>
      <x:c r="F425" s="164" t="str">
        <x:v>SKU Library</x:v>
      </x:c>
      <x:c r="G425" s="167" t="str">
        <x:v>2026-08-31</x:v>
      </x:c>
    </x:row>
    <x:row r="426" ht="18" customHeight="1">
      <x:c r="A426" s="163" t="str">
        <x:v>SRC-0425</x:v>
      </x:c>
      <x:c r="B426" s="164" t="str">
        <x:v>https://www.softsoap.com/en-us/products/indulgent</x:v>
      </x:c>
      <x:c r="C426" s="164" t="str">
        <x:v>Official product page</x:v>
      </x:c>
      <x:c r="D426" s="164" t="str">
        <x:v>Tier 1 - first party</x:v>
      </x:c>
      <x:c r="E426" s="164" t="str">
        <x:v>USA Softsoap: Indulgent Scents for Hand Soap &amp; Body Wash</x:v>
      </x:c>
      <x:c r="F426" s="164" t="str">
        <x:v>SKU Library</x:v>
      </x:c>
      <x:c r="G426" s="167" t="str">
        <x:v>2026-08-31</x:v>
      </x:c>
    </x:row>
    <x:row r="427" ht="18" customHeight="1">
      <x:c r="A427" s="163" t="str">
        <x:v>SRC-0426</x:v>
      </x:c>
      <x:c r="B427" s="164" t="str">
        <x:v>https://www.softsoap.com/en-us/products/skin-indulgence</x:v>
      </x:c>
      <x:c r="C427" s="164" t="str">
        <x:v>Official product page</x:v>
      </x:c>
      <x:c r="D427" s="164" t="str">
        <x:v>Tier 1 - first party</x:v>
      </x:c>
      <x:c r="E427" s="164" t="str">
        <x:v>USA Softsoap: Skin Indulgence Collection for Hand Soap &amp; Body Wash</x:v>
      </x:c>
      <x:c r="F427" s="164" t="str">
        <x:v>SKU Library</x:v>
      </x:c>
      <x:c r="G427" s="167" t="str">
        <x:v>2026-08-31</x:v>
      </x:c>
    </x:row>
    <x:row r="428" ht="18" customHeight="1">
      <x:c r="A428" s="163" t="str">
        <x:v>SRC-0427</x:v>
      </x:c>
      <x:c r="B428" s="164" t="str">
        <x:v>https://www.speedstick.com/</x:v>
      </x:c>
      <x:c r="C428" s="164" t="str">
        <x:v>Official brand/corporate page</x:v>
      </x:c>
      <x:c r="D428" s="164" t="str">
        <x:v>Tier 1 - first party</x:v>
      </x:c>
      <x:c r="E428" s="164" t="str">
        <x:v>Positioning, assets and innovation themes</x:v>
      </x:c>
      <x:c r="F428" s="164" t="str">
        <x:v>Brand Repository: USA Speed Stick; Brand Repository: CA Speed Stick</x:v>
      </x:c>
      <x:c r="G428" s="167" t="str">
        <x:v>2026-08-31</x:v>
      </x:c>
    </x:row>
    <x:row r="429" ht="18" customHeight="1">
      <x:c r="A429" s="163" t="str">
        <x:v>SRC-0428</x:v>
      </x:c>
      <x:c r="B429" s="164" t="str">
        <x:v>https://www.suavitel.com/</x:v>
      </x:c>
      <x:c r="C429" s="164" t="str">
        <x:v>Official brand/corporate page</x:v>
      </x:c>
      <x:c r="D429" s="164" t="str">
        <x:v>Tier 1 - first party</x:v>
      </x:c>
      <x:c r="E429" s="164" t="str">
        <x:v>Positioning, assets and innovation themes</x:v>
      </x:c>
      <x:c r="F429" s="164" t="str">
        <x:v>Brand Repository: USA Suavitel; Brand Repository: CA Suavitel</x:v>
      </x:c>
      <x:c r="G429" s="167" t="str">
        <x:v>2026-08-31</x:v>
      </x:c>
    </x:row>
    <x:row r="430" ht="18" customHeight="1">
      <x:c r="A430" s="163" t="str">
        <x:v>SRC-0429</x:v>
      </x:c>
      <x:c r="B430" s="164" t="str">
        <x:v>https://www.suavitel.com/en-us</x:v>
      </x:c>
      <x:c r="C430" s="164" t="str">
        <x:v>Official product page</x:v>
      </x:c>
      <x:c r="D430" s="164" t="str">
        <x:v>Tier 1 - first party</x:v>
      </x:c>
      <x:c r="E430" s="164" t="str">
        <x:v>USA Suavitel: Suavitel Liquid Fabric Conditioners &amp; Dryer Sheets</x:v>
      </x:c>
      <x:c r="F430" s="164" t="str">
        <x:v>SKU Library</x:v>
      </x:c>
      <x:c r="G430" s="167" t="str">
        <x:v>2026-08-31</x:v>
      </x:c>
    </x:row>
    <x:row r="431" ht="18" customHeight="1">
      <x:c r="A431" s="163" t="str">
        <x:v>SRC-0430</x:v>
      </x:c>
      <x:c r="B431" s="164" t="str">
        <x:v>https://www.suavitel.com/en-us/products?type=Suavitel+Liquid+Conditioners%2CSuavitel%2520Complete%2520Liquid%2520Conditioners</x:v>
      </x:c>
      <x:c r="C431" s="164" t="str">
        <x:v>Official catalog listing</x:v>
      </x:c>
      <x:c r="D431" s="164" t="str">
        <x:v>Tier 1 - first party</x:v>
      </x:c>
      <x:c r="E431" s="164" t="str">
        <x:v>USA Suavitel: Complete Field Flowers Dryer Sheets</x:v>
      </x:c>
      <x:c r="F431" s="164" t="str">
        <x:v>SKU Library</x:v>
      </x:c>
      <x:c r="G431" s="167" t="str">
        <x:v>2026-08-31</x:v>
      </x:c>
    </x:row>
    <x:row r="432" ht="18" customHeight="1">
      <x:c r="A432" s="163" t="str">
        <x:v>SRC-0431</x:v>
      </x:c>
      <x:c r="B432" s="164" t="str">
        <x:v>https://www.suavitel.com/en-us/products/complete-hygiene-fresh-liquid</x:v>
      </x:c>
      <x:c r="C432" s="164" t="str">
        <x:v>Official product page</x:v>
      </x:c>
      <x:c r="D432" s="164" t="str">
        <x:v>Tier 1 - first party</x:v>
      </x:c>
      <x:c r="E432" s="164" t="str">
        <x:v>USA Suavitel: Complete Hygiene Fresh Fabric Conditioner | Suavitel</x:v>
      </x:c>
      <x:c r="F432" s="164" t="str">
        <x:v>SKU Library</x:v>
      </x:c>
      <x:c r="G432" s="167" t="str">
        <x:v>2026-08-31</x:v>
      </x:c>
    </x:row>
    <x:row r="433" ht="18" customHeight="1">
      <x:c r="A433" s="163" t="str">
        <x:v>SRC-0432</x:v>
      </x:c>
      <x:c r="B433" s="164" t="str">
        <x:v>https://www.suavitel.com/en-us/products/field-flowers-advanced-liquid</x:v>
      </x:c>
      <x:c r="C433" s="164" t="str">
        <x:v>Availability evidence</x:v>
      </x:c>
      <x:c r="D433" s="164" t="str">
        <x:v>Tier 1</x:v>
      </x:c>
      <x:c r="E433" s="164" t="str">
        <x:v>Market presence</x:v>
      </x:c>
      <x:c r="F433" s="164" t="str">
        <x:v>Brand Repository: USA Suavitel; SKU Library</x:v>
      </x:c>
      <x:c r="G433" s="167" t="str">
        <x:v>2026-08-31</x:v>
      </x:c>
    </x:row>
    <x:row r="434" ht="18" customHeight="1">
      <x:c r="A434" s="163" t="str">
        <x:v>SRC-0433</x:v>
      </x:c>
      <x:c r="B434" s="164" t="str">
        <x:v>https://www.suavitel.com/en-us/products/field-flowers-liquid</x:v>
      </x:c>
      <x:c r="C434" s="164" t="str">
        <x:v>Official product page</x:v>
      </x:c>
      <x:c r="D434" s="164" t="str">
        <x:v>Tier 1 - first party</x:v>
      </x:c>
      <x:c r="E434" s="164" t="str">
        <x:v>USA Suavitel: Field Flowers Fabric Softener | Lasting Fragrance | Suavitel</x:v>
      </x:c>
      <x:c r="F434" s="164" t="str">
        <x:v>SKU Library</x:v>
      </x:c>
      <x:c r="G434" s="167" t="str">
        <x:v>2026-08-31</x:v>
      </x:c>
    </x:row>
    <x:row r="435" ht="18" customHeight="1">
      <x:c r="A435" s="163" t="str">
        <x:v>SRC-0434</x:v>
      </x:c>
      <x:c r="B435" s="164" t="str">
        <x:v>https://www.suavitel.com/en-us/products/field-flowers-liquid-complete</x:v>
      </x:c>
      <x:c r="C435" s="164" t="str">
        <x:v>Official product page</x:v>
      </x:c>
      <x:c r="D435" s="164" t="str">
        <x:v>Tier 1 - first party</x:v>
      </x:c>
      <x:c r="E435" s="164" t="str">
        <x:v>USA Suavitel: Complete Field Flowers Fabric Softener | Save Color | Suavitel</x:v>
      </x:c>
      <x:c r="F435" s="164" t="str">
        <x:v>SKU Library</x:v>
      </x:c>
      <x:c r="G435" s="167" t="str">
        <x:v>2026-08-31</x:v>
      </x:c>
    </x:row>
    <x:row r="436" ht="18" customHeight="1">
      <x:c r="A436" s="163" t="str">
        <x:v>SRC-0435</x:v>
      </x:c>
      <x:c r="B436" s="164" t="str">
        <x:v>https://www.suavitel.com/en-us/products/field-flowers-sheets</x:v>
      </x:c>
      <x:c r="C436" s="164" t="str">
        <x:v>Official product page</x:v>
      </x:c>
      <x:c r="D436" s="164" t="str">
        <x:v>Tier 1 - first party</x:v>
      </x:c>
      <x:c r="E436" s="164" t="str">
        <x:v>USA Suavitel: Field Flowers Dryer Sheets | Suavitel®</x:v>
      </x:c>
      <x:c r="F436" s="164" t="str">
        <x:v>SKU Library</x:v>
      </x:c>
      <x:c r="G436" s="167" t="str">
        <x:v>2026-08-31</x:v>
      </x:c>
    </x:row>
    <x:row r="437" ht="18" customHeight="1">
      <x:c r="A437" s="163" t="str">
        <x:v>SRC-0436</x:v>
      </x:c>
      <x:c r="B437" s="164" t="str">
        <x:v>https://www.suavitel.com/en-us/products/field-flowers-sheets-complete</x:v>
      </x:c>
      <x:c r="C437" s="164" t="str">
        <x:v>Official product page</x:v>
      </x:c>
      <x:c r="D437" s="164" t="str">
        <x:v>Tier 1 - first party</x:v>
      </x:c>
      <x:c r="E437" s="164" t="str">
        <x:v>USA Suavitel: Complete Field Flowers Dryer Sheets | Suavitel® Complete</x:v>
      </x:c>
      <x:c r="F437" s="164" t="str">
        <x:v>SKU Library</x:v>
      </x:c>
      <x:c r="G437" s="167" t="str">
        <x:v>2026-08-31</x:v>
      </x:c>
    </x:row>
    <x:row r="438" ht="18" customHeight="1">
      <x:c r="A438" s="163" t="str">
        <x:v>SRC-0437</x:v>
      </x:c>
      <x:c r="B438" s="164" t="str">
        <x:v>https://www.suavitel.com/en-us/products/green-apple-liquid-fabric-softener</x:v>
      </x:c>
      <x:c r="C438" s="164" t="str">
        <x:v>Official product page</x:v>
      </x:c>
      <x:c r="D438" s="164" t="str">
        <x:v>Tier 1 - first party</x:v>
      </x:c>
      <x:c r="E438" s="164" t="str">
        <x:v>USA Suavitel: Suavitel Fabric Softener, Green Apple Scent,105 fl oz Bottle | Suavitel</x:v>
      </x:c>
      <x:c r="F438" s="164" t="str">
        <x:v>SKU Library</x:v>
      </x:c>
      <x:c r="G438" s="167" t="str">
        <x:v>2026-08-31</x:v>
      </x:c>
    </x:row>
    <x:row r="439" ht="18" customHeight="1">
      <x:c r="A439" s="163" t="str">
        <x:v>SRC-0438</x:v>
      </x:c>
      <x:c r="B439" s="164" t="str">
        <x:v>https://www.suavitel.com/en-us/products/lavender-liquid</x:v>
      </x:c>
      <x:c r="C439" s="164" t="str">
        <x:v>Official product page</x:v>
      </x:c>
      <x:c r="D439" s="164" t="str">
        <x:v>Tier 1 - first party</x:v>
      </x:c>
      <x:c r="E439" s="164" t="str">
        <x:v>USA Suavitel: Soothing Lavender Fabric Softener | Floral Scent | Suavitel</x:v>
      </x:c>
      <x:c r="F439" s="164" t="str">
        <x:v>SKU Library</x:v>
      </x:c>
      <x:c r="G439" s="167" t="str">
        <x:v>2026-08-31</x:v>
      </x:c>
    </x:row>
    <x:row r="440" ht="18" customHeight="1">
      <x:c r="A440" s="163" t="str">
        <x:v>SRC-0439</x:v>
      </x:c>
      <x:c r="B440" s="164" t="str">
        <x:v>https://www.suavitel.com/en-us/products/lavender-sheets</x:v>
      </x:c>
      <x:c r="C440" s="164" t="str">
        <x:v>Official product page</x:v>
      </x:c>
      <x:c r="D440" s="164" t="str">
        <x:v>Tier 1 - first party</x:v>
      </x:c>
      <x:c r="E440" s="164" t="str">
        <x:v>USA Suavitel: Soothing Lavender Dryer Sheets | Suavitel®</x:v>
      </x:c>
      <x:c r="F440" s="164" t="str">
        <x:v>SKU Library</x:v>
      </x:c>
      <x:c r="G440" s="167" t="str">
        <x:v>2026-08-31</x:v>
      </x:c>
    </x:row>
    <x:row r="441" ht="18" customHeight="1">
      <x:c r="A441" s="163" t="str">
        <x:v>SRC-0440</x:v>
      </x:c>
      <x:c r="B441" s="164" t="str">
        <x:v>https://www.suavitel.com/en-us/products/lavender-sheets-complete</x:v>
      </x:c>
      <x:c r="C441" s="164" t="str">
        <x:v>Official product page</x:v>
      </x:c>
      <x:c r="D441" s="164" t="str">
        <x:v>Tier 1 - first party</x:v>
      </x:c>
      <x:c r="E441" s="164" t="str">
        <x:v>USA Suavitel: Complete Lavender Dryer Sheets | Fresh Laundry | Suavitel</x:v>
      </x:c>
      <x:c r="F441" s="164" t="str">
        <x:v>SKU Library</x:v>
      </x:c>
      <x:c r="G441" s="167" t="str">
        <x:v>2026-08-31</x:v>
      </x:c>
    </x:row>
    <x:row r="442" ht="18" customHeight="1">
      <x:c r="A442" s="163" t="str">
        <x:v>SRC-0441</x:v>
      </x:c>
      <x:c r="B442" s="164" t="str">
        <x:v>https://www.suavitel.com/en-us/products/morning-sun-liquid</x:v>
      </x:c>
      <x:c r="C442" s="164" t="str">
        <x:v>Official product page</x:v>
      </x:c>
      <x:c r="D442" s="164" t="str">
        <x:v>Tier 1 - first party</x:v>
      </x:c>
      <x:c r="E442" s="164" t="str">
        <x:v>USA Suavitel: Morning Sun Fabric Softener | Long-lasting Scent | Suavitel</x:v>
      </x:c>
      <x:c r="F442" s="164" t="str">
        <x:v>SKU Library</x:v>
      </x:c>
      <x:c r="G442" s="167" t="str">
        <x:v>2026-08-31</x:v>
      </x:c>
    </x:row>
    <x:row r="443" ht="18" customHeight="1">
      <x:c r="A443" s="163" t="str">
        <x:v>SRC-0442</x:v>
      </x:c>
      <x:c r="B443" s="164" t="str">
        <x:v>https://www.suavitel.com/en-us/products/morning-sun-liquid-complete</x:v>
      </x:c>
      <x:c r="C443" s="164" t="str">
        <x:v>Official product page</x:v>
      </x:c>
      <x:c r="D443" s="164" t="str">
        <x:v>Tier 1 - first party</x:v>
      </x:c>
      <x:c r="E443" s="164" t="str">
        <x:v>USA Suavitel: Complete Morning Sun Fabric Softener | Save color - Suavitel</x:v>
      </x:c>
      <x:c r="F443" s="164" t="str">
        <x:v>SKU Library</x:v>
      </x:c>
      <x:c r="G443" s="167" t="str">
        <x:v>2026-08-31</x:v>
      </x:c>
    </x:row>
    <x:row r="444" ht="18" customHeight="1">
      <x:c r="A444" s="163" t="str">
        <x:v>SRC-0443</x:v>
      </x:c>
      <x:c r="B444" s="164" t="str">
        <x:v>https://www.suavitel.com/en-us/products/morning-sun-sheets-complete</x:v>
      </x:c>
      <x:c r="C444" s="164" t="str">
        <x:v>Official product page</x:v>
      </x:c>
      <x:c r="D444" s="164" t="str">
        <x:v>Tier 1 - first party</x:v>
      </x:c>
      <x:c r="E444" s="164" t="str">
        <x:v>USA Suavitel: Complete Morning Sun Dryer Sheets | Fresh Laundry | Suavitel</x:v>
      </x:c>
      <x:c r="F444" s="164" t="str">
        <x:v>SKU Library</x:v>
      </x:c>
      <x:c r="G444" s="167" t="str">
        <x:v>2026-08-31</x:v>
      </x:c>
    </x:row>
    <x:row r="445" ht="18" customHeight="1">
      <x:c r="A445" s="163" t="str">
        <x:v>SRC-0444</x:v>
      </x:c>
      <x:c r="B445" s="164" t="str">
        <x:v>https://www.suavitel.com/en-us/products/odor-shield-fresh-air-scent</x:v>
      </x:c>
      <x:c r="C445" s="164" t="str">
        <x:v>Official product page</x:v>
      </x:c>
      <x:c r="D445" s="164" t="str">
        <x:v>Tier 1 - first party</x:v>
      </x:c>
      <x:c r="E445" s="164" t="str">
        <x:v>USA Suavitel: Odor Shield Liquid Fabric Softener | Fresh Breeze | Suavitel</x:v>
      </x:c>
      <x:c r="F445" s="164" t="str">
        <x:v>SKU Library</x:v>
      </x:c>
      <x:c r="G445" s="167" t="str">
        <x:v>2026-08-31</x:v>
      </x:c>
    </x:row>
    <x:row r="446" ht="18" customHeight="1">
      <x:c r="A446" s="163" t="str">
        <x:v>SRC-0445</x:v>
      </x:c>
      <x:c r="B446" s="164" t="str">
        <x:v>https://www.suavitel.com/en-us/products/odor-shield-fresh-air-scent?bvstate=pg:3/ct:r</x:v>
      </x:c>
      <x:c r="C446" s="164" t="str">
        <x:v>Official product page</x:v>
      </x:c>
      <x:c r="D446" s="164" t="str">
        <x:v>Tier 1 - first party</x:v>
      </x:c>
      <x:c r="E446" s="164" t="str">
        <x:v>USA Suavitel: Suavitel® Odor Shield Fresh Breeze Fabric Softener</x:v>
      </x:c>
      <x:c r="F446" s="164" t="str">
        <x:v>SKU Library</x:v>
      </x:c>
      <x:c r="G446" s="167" t="str">
        <x:v>2026-08-31</x:v>
      </x:c>
    </x:row>
    <x:row r="447" ht="18" customHeight="1">
      <x:c r="A447" s="163" t="str">
        <x:v>SRC-0446</x:v>
      </x:c>
      <x:c r="B447" s="164" t="str">
        <x:v>https://www.suavitel.com/en-us/products/refresher-fabric-rinse-4x-odor-action-floral-fresh-scent</x:v>
      </x:c>
      <x:c r="C447" s="164" t="str">
        <x:v>Official product page</x:v>
      </x:c>
      <x:c r="D447" s="164" t="str">
        <x:v>Tier 1 - first party</x:v>
      </x:c>
      <x:c r="E447" s="164" t="str">
        <x:v>USA Suavitel: Suavitel Refresher Fabric Rinse, 4X Odor Action, Floral Fresh | Suavitel</x:v>
      </x:c>
      <x:c r="F447" s="164" t="str">
        <x:v>SKU Library</x:v>
      </x:c>
      <x:c r="G447" s="167" t="str">
        <x:v>2026-08-31</x:v>
      </x:c>
    </x:row>
    <x:row r="448" ht="18" customHeight="1">
      <x:c r="A448" s="163" t="str">
        <x:v>SRC-0447</x:v>
      </x:c>
      <x:c r="B448" s="164" t="str">
        <x:v>https://www.suavitel.com/en-us/products/refresher-fabric-rinse-4x-odor-action-ocean-fresh-scent</x:v>
      </x:c>
      <x:c r="C448" s="164" t="str">
        <x:v>Official product page</x:v>
      </x:c>
      <x:c r="D448" s="164" t="str">
        <x:v>Tier 1 - first party</x:v>
      </x:c>
      <x:c r="E448" s="164" t="str">
        <x:v>USA Suavitel: Suavitel Refresher Fabric Rinse, 4X Odor Action, Ocean Fresh | Suavitel</x:v>
      </x:c>
      <x:c r="F448" s="164" t="str">
        <x:v>SKU Library</x:v>
      </x:c>
      <x:c r="G448" s="167" t="str">
        <x:v>2026-08-31</x:v>
      </x:c>
    </x:row>
    <x:row r="449" ht="18" customHeight="1">
      <x:c r="A449" s="163" t="str">
        <x:v>SRC-0448</x:v>
      </x:c>
      <x:c r="B449" s="164" t="str">
        <x:v>https://www.suavitel.com/en-us/products/sensations-hawn-escape</x:v>
      </x:c>
      <x:c r="C449" s="164" t="str">
        <x:v>Official product page</x:v>
      </x:c>
      <x:c r="D449" s="164" t="str">
        <x:v>Tier 1 - first party</x:v>
      </x:c>
      <x:c r="E449" s="164" t="str">
        <x:v>USA Suavitel: Suavitel ® Sensations Hawaiian Escape Liquid Fabric Softener</x:v>
      </x:c>
      <x:c r="F449" s="164" t="str">
        <x:v>SKU Library</x:v>
      </x:c>
      <x:c r="G449" s="167" t="str">
        <x:v>2026-08-31</x:v>
      </x:c>
    </x:row>
    <x:row r="450" ht="18" customHeight="1">
      <x:c r="A450" s="163" t="str">
        <x:v>SRC-0449</x:v>
      </x:c>
      <x:c r="B450" s="164" t="str">
        <x:v>https://www.suavitel.com/en-us/products/shed-shield-fresh-scent</x:v>
      </x:c>
      <x:c r="C450" s="164" t="str">
        <x:v>Official product page</x:v>
      </x:c>
      <x:c r="D450" s="164" t="str">
        <x:v>Tier 1 - first party</x:v>
      </x:c>
      <x:c r="E450" s="164" t="str">
        <x:v>USA Suavitel: Shed Shield | Pet Hair and Odor Fabric Conditioner | Suavitel</x:v>
      </x:c>
      <x:c r="F450" s="164" t="str">
        <x:v>SKU Library</x:v>
      </x:c>
      <x:c r="G450" s="167" t="str">
        <x:v>2026-08-31</x:v>
      </x:c>
    </x:row>
    <x:row r="451" ht="18" customHeight="1">
      <x:c r="A451" s="163" t="str">
        <x:v>SRC-0450</x:v>
      </x:c>
      <x:c r="B451" s="164" t="str">
        <x:v>https://www.suavitel.com/en-us/products/soothing-lavender-complete</x:v>
      </x:c>
      <x:c r="C451" s="164" t="str">
        <x:v>Official product page</x:v>
      </x:c>
      <x:c r="D451" s="164" t="str">
        <x:v>Tier 1 - first party</x:v>
      </x:c>
      <x:c r="E451" s="164" t="str">
        <x:v>USA Suavitel: Complete Soothing Lavender Fabric Softener | Suavitel</x:v>
      </x:c>
      <x:c r="F451" s="164" t="str">
        <x:v>SKU Library</x:v>
      </x:c>
      <x:c r="G451" s="167" t="str">
        <x:v>2026-08-31</x:v>
      </x:c>
    </x:row>
    <x:row r="452" ht="18" customHeight="1">
      <x:c r="A452" s="163" t="str">
        <x:v>SRC-0451</x:v>
      </x:c>
      <x:c r="B452" s="164" t="str">
        <x:v>https://www.suavitel.com/en-us/products/soothing-lavender-complete?pr_rd_page=3</x:v>
      </x:c>
      <x:c r="C452" s="164" t="str">
        <x:v>Official product page</x:v>
      </x:c>
      <x:c r="D452" s="164" t="str">
        <x:v>Tier 1 - first party</x:v>
      </x:c>
      <x:c r="E452" s="164" t="str">
        <x:v>USA Suavitel: Suavitel® Complete Soothing Lavender Liquid Fabric Softener</x:v>
      </x:c>
      <x:c r="F452" s="164" t="str">
        <x:v>SKU Library</x:v>
      </x:c>
      <x:c r="G452" s="167" t="str">
        <x:v>2026-08-31</x:v>
      </x:c>
    </x:row>
    <x:row r="453" ht="18" customHeight="1">
      <x:c r="A453" s="163" t="str">
        <x:v>SRC-0452</x:v>
      </x:c>
      <x:c r="B453" s="164" t="str">
        <x:v>https://www.suavitel.com/en-us/products/sunshine-bloom-liquid-complete</x:v>
      </x:c>
      <x:c r="C453" s="164" t="str">
        <x:v>Official product page</x:v>
      </x:c>
      <x:c r="D453" s="164" t="str">
        <x:v>Tier 1 - first party</x:v>
      </x:c>
      <x:c r="E453" s="164" t="str">
        <x:v>USA Suavitel: Complete Sunshine Bloom Fabric Softener | Save Color | Suavitel</x:v>
      </x:c>
      <x:c r="F453" s="164" t="str">
        <x:v>SKU Library</x:v>
      </x:c>
      <x:c r="G453" s="167" t="str">
        <x:v>2026-08-31</x:v>
      </x:c>
    </x:row>
    <x:row r="454" ht="18" customHeight="1">
      <x:c r="A454" s="163" t="str">
        <x:v>SRC-0453</x:v>
      </x:c>
      <x:c r="B454" s="164" t="str">
        <x:v>https://www.suavitel.com/en-us/products/waterfall-mist-liquid-complete</x:v>
      </x:c>
      <x:c r="C454" s="164" t="str">
        <x:v>Official product page</x:v>
      </x:c>
      <x:c r="D454" s="164" t="str">
        <x:v>Tier 1 - first party</x:v>
      </x:c>
      <x:c r="E454" s="164" t="str">
        <x:v>USA Suavitel: Complete Waterfall Mist Fabric Softener | Save Color | Suavitel</x:v>
      </x:c>
      <x:c r="F454" s="164" t="str">
        <x:v>SKU Library</x:v>
      </x:c>
      <x:c r="G454" s="167" t="str">
        <x:v>2026-08-31</x:v>
      </x:c>
    </x:row>
    <x:row r="455" ht="18" customHeight="1">
      <x:c r="A455" s="163" t="str">
        <x:v>SRC-0454</x:v>
      </x:c>
      <x:c r="B455" s="164" t="str">
        <x:v>https://www.suavitel.com/en-us/products/waterfall-mist-sheets-complete</x:v>
      </x:c>
      <x:c r="C455" s="164" t="str">
        <x:v>Official product page</x:v>
      </x:c>
      <x:c r="D455" s="164" t="str">
        <x:v>Tier 1 - first party</x:v>
      </x:c>
      <x:c r="E455" s="164" t="str">
        <x:v>USA Suavitel: Complete Waterfall Mist Dryer Sheets - Suavitel</x:v>
      </x:c>
      <x:c r="F455" s="164" t="str">
        <x:v>SKU Library</x:v>
      </x:c>
      <x:c r="G455" s="167" t="str">
        <x:v>2026-08-31</x:v>
      </x:c>
    </x:row>
    <x:row r="456" ht="18" customHeight="1">
      <x:c r="A456" s="163" t="str">
        <x:v>SRC-0455</x:v>
      </x:c>
      <x:c r="B456" s="164" t="str">
        <x:v>https://www.suavitel.com/es-us/products/refresher-fabric-rinse-4x-odor-action-floral-fresh-scent</x:v>
      </x:c>
      <x:c r="C456" s="164" t="str">
        <x:v>Official product page</x:v>
      </x:c>
      <x:c r="D456" s="164" t="str">
        <x:v>Tier 1 - first party</x:v>
      </x:c>
      <x:c r="E456" s="164" t="str">
        <x:v>USA Suavitel: Suavitel Refresher Fabric Rinse, 4X Odor Action, Floral Fresh Scent, 25.5 fl oz | Suavitel</x:v>
      </x:c>
      <x:c r="F456" s="164" t="str">
        <x:v>SKU Library</x:v>
      </x:c>
      <x:c r="G456" s="167" t="str">
        <x:v>2026-08-31</x:v>
      </x:c>
    </x:row>
    <x:row r="457" ht="18" customHeight="1">
      <x:c r="A457" s="163" t="str">
        <x:v>SRC-0456</x:v>
      </x:c>
      <x:c r="B457" s="164" t="str">
        <x:v>https://www.sweetcare.com/ca/b/filorga</x:v>
      </x:c>
      <x:c r="C457" s="164" t="str">
        <x:v>Current retailer product page</x:v>
      </x:c>
      <x:c r="D457" s="164" t="str">
        <x:v>Tier 2 - retailer</x:v>
      </x:c>
      <x:c r="E457" s="164" t="str">
        <x:v>CA FILORGA: Filorga Products Online | Shop Filorga at SweetCare - SweetCare Canada</x:v>
      </x:c>
      <x:c r="F457" s="164" t="str">
        <x:v>SKU Library</x:v>
      </x:c>
      <x:c r="G457" s="167" t="str">
        <x:v>2026-08-31</x:v>
      </x:c>
    </x:row>
    <x:row r="458" ht="18" customHeight="1">
      <x:c r="A458" s="163" t="str">
        <x:v>SRC-0457</x:v>
      </x:c>
      <x:c r="B458" s="164" t="str">
        <x:v>https://www.sweetcare.com/ca/filorga-time-filler-intensive-5xp-wrinkle-correction-p-014311fl?st=01</x:v>
      </x:c>
      <x:c r="C458" s="164" t="str">
        <x:v>Current retailer product page</x:v>
      </x:c>
      <x:c r="D458" s="164" t="str">
        <x:v>Tier 2 - retailer</x:v>
      </x:c>
      <x:c r="E458" s="164" t="str">
        <x:v>CA FILORGA: Time-Filler Intensive 5XP Wrinkle Correction Serum - Filorga | Buy at Sweetcare - SweetCare Canada</x:v>
      </x:c>
      <x:c r="F458" s="164" t="str">
        <x:v>SKU Library</x:v>
      </x:c>
      <x:c r="G458" s="167" t="str">
        <x:v>2026-08-31</x:v>
      </x:c>
    </x:row>
    <x:row r="459" ht="18" customHeight="1">
      <x:c r="A459" s="163" t="str">
        <x:v>SRC-0458</x:v>
      </x:c>
      <x:c r="B459" s="164" t="str">
        <x:v>https://www.sweetcare.com/ca/filorga-time-filler-night-wrinkle-correction-cream-botox-p-009568fl?st=01</x:v>
      </x:c>
      <x:c r="C459" s="164" t="str">
        <x:v>Current retailer product page</x:v>
      </x:c>
      <x:c r="D459" s="164" t="str">
        <x:v>Tier 2 - retailer</x:v>
      </x:c>
      <x:c r="E459" s="164" t="str">
        <x:v>CA FILORGA: Filorga Time-Filler Night 5XP Wrinkle Correction Cream - SweetCare Canada</x:v>
      </x:c>
      <x:c r="F459" s="164" t="str">
        <x:v>SKU Library</x:v>
      </x:c>
      <x:c r="G459" s="167" t="str">
        <x:v>2026-08-31</x:v>
      </x:c>
    </x:row>
    <x:row r="460" ht="18" customHeight="1">
      <x:c r="A460" s="163" t="str">
        <x:v>SRC-0459</x:v>
      </x:c>
      <x:c r="B460" s="164" t="str">
        <x:v>https://www.target.com/c/beauty-personal-care-deals/lady-speed-stick/-/N-5514vZ55eg1</x:v>
      </x:c>
      <x:c r="C460" s="164" t="str">
        <x:v>Availability evidence</x:v>
      </x:c>
      <x:c r="D460" s="164" t="str">
        <x:v>Tier 1</x:v>
      </x:c>
      <x:c r="E460" s="164" t="str">
        <x:v>Market presence</x:v>
      </x:c>
      <x:c r="F460" s="164" t="str">
        <x:v>Brand Repository: USA Lady Speed Stick; SKU Library</x:v>
      </x:c>
      <x:c r="G460" s="167" t="str">
        <x:v>2026-08-31</x:v>
      </x:c>
    </x:row>
    <x:row r="461" ht="18" customHeight="1">
      <x:c r="A461" s="163" t="str">
        <x:v>SRC-0460</x:v>
      </x:c>
      <x:c r="B461" s="164" t="str">
        <x:v>https://www.target.com/c/dish-soaps-dishwashing-cleaning-supplies-household-essentials/ajax/-/N-5xsyuZ56da9</x:v>
      </x:c>
      <x:c r="C461" s="164" t="str">
        <x:v>Current retailer product page</x:v>
      </x:c>
      <x:c r="D461" s="164" t="str">
        <x:v>Tier 2 - retailer</x:v>
      </x:c>
      <x:c r="E461" s="164" t="str">
        <x:v>USA Ajax: Ajax Dish Soaps Liquid Detergents Citrus Scents Paraben-Free</x:v>
      </x:c>
      <x:c r="F461" s="164" t="str">
        <x:v>SKU Library</x:v>
      </x:c>
      <x:c r="G461" s="167" t="str">
        <x:v>2026-08-31</x:v>
      </x:c>
    </x:row>
    <x:row r="462" ht="18" customHeight="1">
      <x:c r="A462" s="163" t="str">
        <x:v>SRC-0461</x:v>
      </x:c>
      <x:c r="B462" s="164" t="str">
        <x:v>https://www.target.com/p/ajax-dish-detergent-orange-scent-145-oz-bottle-4-carton/-/A-91489169</x:v>
      </x:c>
      <x:c r="C462" s="164" t="str">
        <x:v>Current retailer product page</x:v>
      </x:c>
      <x:c r="D462" s="164" t="str">
        <x:v>Tier 2 - retailer</x:v>
      </x:c>
      <x:c r="E462" s="164" t="str">
        <x:v>USA Ajax: Ajax Dish Detergent, Orange Scent, 145 oz Bottle, 4/Carton</x:v>
      </x:c>
      <x:c r="F462" s="164" t="str">
        <x:v>SKU Library</x:v>
      </x:c>
      <x:c r="G462" s="167" t="str">
        <x:v>2026-08-31</x:v>
      </x:c>
    </x:row>
    <x:row r="463" ht="18" customHeight="1">
      <x:c r="A463" s="163" t="str">
        <x:v>SRC-0462</x:v>
      </x:c>
      <x:c r="B463" s="164" t="str">
        <x:v>https://www.target.com/p/ajax-lemon-ultra-super-degreaser-dishwashing-liquid-dish-soap-52-fl-oz/-/A-14284027</x:v>
      </x:c>
      <x:c r="C463" s="164" t="str">
        <x:v>Current retailer product page</x:v>
      </x:c>
      <x:c r="D463" s="164" t="str">
        <x:v>Tier 2 - retailer</x:v>
      </x:c>
      <x:c r="E463" s="164" t="str">
        <x:v>USA Ajax: Ajax Ultra Super Degreaser Liquid Dish Soap - Lemon Scent - 52 fl oz: Paraben-Free, Phosphate-Free, Multi-Surface</x:v>
      </x:c>
      <x:c r="F463" s="164" t="str">
        <x:v>SKU Library</x:v>
      </x:c>
      <x:c r="G463" s="167" t="str">
        <x:v>2026-08-31</x:v>
      </x:c>
    </x:row>
    <x:row r="464" ht="18" customHeight="1">
      <x:c r="A464" s="163" t="str">
        <x:v>SRC-0463</x:v>
      </x:c>
      <x:c r="B464" s="164" t="str">
        <x:v>https://www.target.com/p/ajax-lemon-ultra-super-degreaser-dishwashing-liquid-dish-soap/-/A-78259686</x:v>
      </x:c>
      <x:c r="C464" s="164" t="str">
        <x:v>Current retailer product page</x:v>
      </x:c>
      <x:c r="D464" s="164" t="str">
        <x:v>Tier 2 - retailer</x:v>
      </x:c>
      <x:c r="E464" s="164" t="str">
        <x:v>USA Ajax: Ajax Ultra Super Degreaser Liquid Dish Soap - Lemon Scent</x:v>
      </x:c>
      <x:c r="F464" s="164" t="str">
        <x:v>SKU Library</x:v>
      </x:c>
      <x:c r="G464" s="167" t="str">
        <x:v>2026-08-31</x:v>
      </x:c>
    </x:row>
    <x:row r="465" ht="18" customHeight="1">
      <x:c r="A465" s="163" t="str">
        <x:v>SRC-0464</x:v>
      </x:c>
      <x:c r="B465" s="164" t="str">
        <x:v>https://www.target.com/p/ajax-orange-ultra-triple-action-dishwashing-liquid-dish-soap-90-fl-oz/-/A-13960915</x:v>
      </x:c>
      <x:c r="C465" s="164" t="str">
        <x:v>Current retailer product page</x:v>
      </x:c>
      <x:c r="D465" s="164" t="str">
        <x:v>Tier 2 - retailer</x:v>
      </x:c>
      <x:c r="E465" s="164" t="str">
        <x:v>USA Ajax: Ajax Ultra Triple Action Liquid Dish Soap - Orange Scent - 90 fl oz: Paraben &amp; Phosphate-Free Multi-Surface Cleaner</x:v>
      </x:c>
      <x:c r="F465" s="164" t="str">
        <x:v>SKU Library</x:v>
      </x:c>
      <x:c r="G465" s="167" t="str">
        <x:v>2026-08-31</x:v>
      </x:c>
    </x:row>
    <x:row r="466" ht="18" customHeight="1">
      <x:c r="A466" s="163" t="str">
        <x:v>SRC-0465</x:v>
      </x:c>
      <x:c r="B466" s="164" t="str">
        <x:v>https://www.target.com/p/ajax-ultra-liquid-dish-soap-vinegar-and-lime-90-fl-oz/-/A-75666577</x:v>
      </x:c>
      <x:c r="C466" s="164" t="str">
        <x:v>Current retailer product page</x:v>
      </x:c>
      <x:c r="D466" s="164" t="str">
        <x:v>Tier 2 - retailer</x:v>
      </x:c>
      <x:c r="E466" s="164" t="str">
        <x:v>USA Ajax: Ajax Ultra Liquid Dish Soap - Vinegar and Lime - 90 fl oz: Paraben-Free, Phosphate-Free, For Cookware &amp; Dishes</x:v>
      </x:c>
      <x:c r="F466" s="164" t="str">
        <x:v>SKU Library</x:v>
      </x:c>
      <x:c r="G466" s="167" t="str">
        <x:v>2026-08-31</x:v>
      </x:c>
    </x:row>
    <x:row r="467" ht="18" customHeight="1">
      <x:c r="A467" s="163" t="str">
        <x:v>SRC-0466</x:v>
      </x:c>
      <x:c r="B467" s="164" t="str">
        <x:v>https://www.target.com/p/ajax-watermelon-fabuloso-liquid-dish-soaps-52-fl-oz-cleaner-eliminates-stains-removes-grease-plastic-bottle/-/A-94885343</x:v>
      </x:c>
      <x:c r="C467" s="164" t="str">
        <x:v>Availability evidence</x:v>
      </x:c>
      <x:c r="D467" s="164" t="str">
        <x:v>Tier 1</x:v>
      </x:c>
      <x:c r="E467" s="164" t="str">
        <x:v>Market presence</x:v>
      </x:c>
      <x:c r="F467" s="164" t="str">
        <x:v>Brand Repository: USA Fabuloso; SKU Library</x:v>
      </x:c>
      <x:c r="G467" s="167" t="str">
        <x:v>2026-08-31</x:v>
      </x:c>
    </x:row>
    <x:row r="468" ht="18" customHeight="1">
      <x:c r="A468" s="163" t="str">
        <x:v>SRC-0467</x:v>
      </x:c>
      <x:c r="B468" s="164" t="str">
        <x:v>https://www.target.com/p/colgate-2-in-1-whitening-gel-toothpaste-and-mouthwash-4-6oz/-/A-14274191</x:v>
      </x:c>
      <x:c r="C468" s="164" t="str">
        <x:v>Availability evidence</x:v>
      </x:c>
      <x:c r="D468" s="164" t="str">
        <x:v>Tier 1</x:v>
      </x:c>
      <x:c r="E468" s="164" t="str">
        <x:v>Market presence</x:v>
      </x:c>
      <x:c r="F468" s="164" t="str">
        <x:v>Brand Repository: USA Colgate; SKU Library</x:v>
      </x:c>
      <x:c r="G468" s="167" t="str">
        <x:v>2026-08-31</x:v>
      </x:c>
    </x:row>
    <x:row r="469" ht="18" customHeight="1">
      <x:c r="A469" s="163" t="str">
        <x:v>SRC-0468</x:v>
      </x:c>
      <x:c r="B469" s="164" t="str">
        <x:v>https://www.target.com/p/colgate-cavity-protection-toothpaste-with-fluoride-6oz-3pk/-/A-75563127</x:v>
      </x:c>
      <x:c r="C469" s="164" t="str">
        <x:v>Current retailer product page</x:v>
      </x:c>
      <x:c r="D469" s="164" t="str">
        <x:v>Tier 2 - retailer</x:v>
      </x:c>
      <x:c r="E469" s="164" t="str">
        <x:v>USA Colgate: Colgate Cavity Protection Toothpaste with Fluoride - 6oz/3pk: Gluten-Free, Mint Flavor</x:v>
      </x:c>
      <x:c r="F469" s="164" t="str">
        <x:v>SKU Library</x:v>
      </x:c>
      <x:c r="G469" s="167" t="str">
        <x:v>2026-08-31</x:v>
      </x:c>
    </x:row>
    <x:row r="470" ht="18" customHeight="1">
      <x:c r="A470" s="163" t="str">
        <x:v>SRC-0469</x:v>
      </x:c>
      <x:c r="B470" s="164" t="str">
        <x:v>https://www.target.com/p/colgate-cavity-protection-toothpaste-with-fluoride-8oz/-/A-21464628</x:v>
      </x:c>
      <x:c r="C470" s="164" t="str">
        <x:v>Current retailer product page</x:v>
      </x:c>
      <x:c r="D470" s="164" t="str">
        <x:v>Tier 2 - retailer</x:v>
      </x:c>
      <x:c r="E470" s="164" t="str">
        <x:v>USA Colgate: Colgate Cavity Protection Toothpaste with Fluoride - 8oz</x:v>
      </x:c>
      <x:c r="F470" s="164" t="str">
        <x:v>SKU Library</x:v>
      </x:c>
      <x:c r="G470" s="167" t="str">
        <x:v>2026-08-31</x:v>
      </x:c>
    </x:row>
    <x:row r="471" ht="18" customHeight="1">
      <x:c r="A471" s="163" t="str">
        <x:v>SRC-0470</x:v>
      </x:c>
      <x:c r="B471" s="164" t="str">
        <x:v>https://www.target.com/p/colgate-extra-clean-full-head-toothbrush-medium-1ct/-/A-14667204</x:v>
      </x:c>
      <x:c r="C471" s="164" t="str">
        <x:v>Current retailer product page</x:v>
      </x:c>
      <x:c r="D471" s="164" t="str">
        <x:v>Tier 2 - retailer</x:v>
      </x:c>
      <x:c r="E471" s="164" t="str">
        <x:v>USA Colgate: Colgate Extra Clean Manual Toothbrush - Soft</x:v>
      </x:c>
      <x:c r="F471" s="164" t="str">
        <x:v>SKU Library</x:v>
      </x:c>
      <x:c r="G471" s="167" t="str">
        <x:v>2026-08-31</x:v>
      </x:c>
    </x:row>
    <x:row r="472" ht="18" customHeight="1">
      <x:c r="A472" s="163" t="str">
        <x:v>SRC-0471</x:v>
      </x:c>
      <x:c r="B472" s="164" t="str">
        <x:v>https://www.target.com/p/colgate-kids-toothbrush-value-pack-ocean-explorer-extra-soft-4ct/-/A-75563150</x:v>
      </x:c>
      <x:c r="C472" s="164" t="str">
        <x:v>Current retailer product page</x:v>
      </x:c>
      <x:c r="D472" s="164" t="str">
        <x:v>Tier 2 - retailer</x:v>
      </x:c>
      <x:c r="E472" s="164" t="str">
        <x:v>USA Colgate: Colgate Kids' Ocean Explorer Manual Toothbrush Extra Soft - 4ct</x:v>
      </x:c>
      <x:c r="F472" s="164" t="str">
        <x:v>SKU Library</x:v>
      </x:c>
      <x:c r="G472" s="167" t="str">
        <x:v>2026-08-31</x:v>
      </x:c>
    </x:row>
    <x:row r="473" ht="18" customHeight="1">
      <x:c r="A473" s="163" t="str">
        <x:v>SRC-0472</x:v>
      </x:c>
      <x:c r="B473" s="164" t="str">
        <x:v>https://www.target.com/p/colgate-max-fresh-coconut-pineapple-toothpaste-4-5oz/-/A-94823724</x:v>
      </x:c>
      <x:c r="C473" s="164" t="str">
        <x:v>Current retailer product page</x:v>
      </x:c>
      <x:c r="D473" s="164" t="str">
        <x:v>Tier 2 - retailer</x:v>
      </x:c>
      <x:c r="E473" s="164" t="str">
        <x:v>USA Colgate: Colgate Max Fresh Anticavity Fluoride Toothpaste - Pineapple Coconut Crush with Mint - 4.5oz</x:v>
      </x:c>
      <x:c r="F473" s="164" t="str">
        <x:v>SKU Library</x:v>
      </x:c>
      <x:c r="G473" s="167" t="str">
        <x:v>2026-08-31</x:v>
      </x:c>
    </x:row>
    <x:row r="474" ht="18" customHeight="1">
      <x:c r="A474" s="163" t="str">
        <x:v>SRC-0473</x:v>
      </x:c>
      <x:c r="B474" s="164" t="str">
        <x:v>https://www.target.com/p/colgate-max-fresh-toothpaste-knockout-6-3oz-3pk/-/A-87085888</x:v>
      </x:c>
      <x:c r="C474" s="164" t="str">
        <x:v>Current retailer product page</x:v>
      </x:c>
      <x:c r="D474" s="164" t="str">
        <x:v>Tier 2 - retailer</x:v>
      </x:c>
      <x:c r="E474" s="164" t="str">
        <x:v>USA Colgate: Colgate Max Fresh Knockout Flouride Toothpaste - Mint Fusion - 6.3oz/3pk</x:v>
      </x:c>
      <x:c r="F474" s="164" t="str">
        <x:v>SKU Library</x:v>
      </x:c>
      <x:c r="G474" s="167" t="str">
        <x:v>2026-08-31</x:v>
      </x:c>
    </x:row>
    <x:row r="475" ht="18" customHeight="1">
      <x:c r="A475" s="163" t="str">
        <x:v>SRC-0474</x:v>
      </x:c>
      <x:c r="B475" s="164" t="str">
        <x:v>https://www.target.com/p/colgate-max-fresh-toothpaste-with-mini-breath-strips-cool-mint-6-3oz/-/A-1012287959</x:v>
      </x:c>
      <x:c r="C475" s="164" t="str">
        <x:v>Current retailer product page</x:v>
      </x:c>
      <x:c r="D475" s="164" t="str">
        <x:v>Tier 2 - retailer</x:v>
      </x:c>
      <x:c r="E475" s="164" t="str">
        <x:v>USA Colgate: Colgate Max Fresh Toothpaste with Mini Breath Strips - Cool Mint - 6.3oz</x:v>
      </x:c>
      <x:c r="F475" s="164" t="str">
        <x:v>SKU Library</x:v>
      </x:c>
      <x:c r="G475" s="167" t="str">
        <x:v>2026-08-31</x:v>
      </x:c>
    </x:row>
    <x:row r="476" ht="18" customHeight="1">
      <x:c r="A476" s="163" t="str">
        <x:v>SRC-0475</x:v>
      </x:c>
      <x:c r="B476" s="164" t="str">
        <x:v>https://www.target.com/p/colgate-max-fresh-toothpaste-with-mini-breath-strips-cool-mint-6-3oz/-/A-88919774</x:v>
      </x:c>
      <x:c r="C476" s="164" t="str">
        <x:v>Current retailer product page</x:v>
      </x:c>
      <x:c r="D476" s="164" t="str">
        <x:v>Tier 2 - retailer</x:v>
      </x:c>
      <x:c r="E476" s="164" t="str">
        <x:v>USA Colgate: Colgate Max Fresh Toothpaste with Mini Breath Strips - Cool Mint - 6.3oz</x:v>
      </x:c>
      <x:c r="F476" s="164" t="str">
        <x:v>SKU Library</x:v>
      </x:c>
      <x:c r="G476" s="167" t="str">
        <x:v>2026-08-31</x:v>
      </x:c>
    </x:row>
    <x:row r="477" ht="18" customHeight="1">
      <x:c r="A477" s="163" t="str">
        <x:v>SRC-0476</x:v>
      </x:c>
      <x:c r="B477" s="164" t="str">
        <x:v>https://www.target.com/p/colgate-optic-white-advanced-whitening-toothpaste-icy-fresh-3-2oz-1pk/-/A-76579084</x:v>
      </x:c>
      <x:c r="C477" s="164" t="str">
        <x:v>Current retailer product page</x:v>
      </x:c>
      <x:c r="D477" s="164" t="str">
        <x:v>Tier 2 - retailer</x:v>
      </x:c>
      <x:c r="E477" s="164" t="str">
        <x:v>USA Colgate: Colgate Optic White Advanced Teeth Whitening Fluoride Toothpaste with 2% Hydrogen Peroxide - Icy Fresh - 3.2oz: Sugar-Free, Gluten-Free, Vegan</x:v>
      </x:c>
      <x:c r="F477" s="164" t="str">
        <x:v>SKU Library</x:v>
      </x:c>
      <x:c r="G477" s="167" t="str">
        <x:v>2026-08-31</x:v>
      </x:c>
    </x:row>
    <x:row r="478" ht="18" customHeight="1">
      <x:c r="A478" s="163" t="str">
        <x:v>SRC-0477</x:v>
      </x:c>
      <x:c r="B478" s="164" t="str">
        <x:v>https://www.target.com/p/colgate-optic-white-advanced-whitening-toothpaste-icy-fresh-3-2oz/-/A-87008211</x:v>
      </x:c>
      <x:c r="C478" s="164" t="str">
        <x:v>Current retailer product page</x:v>
      </x:c>
      <x:c r="D478" s="164" t="str">
        <x:v>Tier 2 - retailer</x:v>
      </x:c>
      <x:c r="E478" s="164" t="str">
        <x:v>USA Colgate: Colgate Optic White Advanced Whitening Toothpaste - Icy Fresh - 3.2oz</x:v>
      </x:c>
      <x:c r="F478" s="164" t="str">
        <x:v>SKU Library</x:v>
      </x:c>
      <x:c r="G478" s="167" t="str">
        <x:v>2026-08-31</x:v>
      </x:c>
    </x:row>
    <x:row r="479" ht="18" customHeight="1">
      <x:c r="A479" s="163" t="str">
        <x:v>SRC-0478</x:v>
      </x:c>
      <x:c r="B479" s="164" t="str">
        <x:v>https://www.target.com/p/colgate-optic-white-pro-series-express-white-toothbrush-3oz-2pk/-/A-94823736</x:v>
      </x:c>
      <x:c r="C479" s="164" t="str">
        <x:v>Current retailer product page</x:v>
      </x:c>
      <x:c r="D479" s="164" t="str">
        <x:v>Tier 2 - retailer</x:v>
      </x:c>
      <x:c r="E479" s="164" t="str">
        <x:v>USA Colgate: Colgate Optic White Pro Series Express White Teeth Whitening Toothpaste with 5% Hydrogen Peroxide - 3oz/2pk</x:v>
      </x:c>
      <x:c r="F479" s="164" t="str">
        <x:v>SKU Library</x:v>
      </x:c>
      <x:c r="G479" s="167" t="str">
        <x:v>2026-08-31</x:v>
      </x:c>
    </x:row>
    <x:row r="480" ht="18" customHeight="1">
      <x:c r="A480" s="163" t="str">
        <x:v>SRC-0479</x:v>
      </x:c>
      <x:c r="B480" s="164" t="str">
        <x:v>https://www.target.com/p/colgate-optic-white-whitening-toothpaste-sparkling-white-3-2oz-3pk/-/A-76579068</x:v>
      </x:c>
      <x:c r="C480" s="164" t="str">
        <x:v>Current retailer product page</x:v>
      </x:c>
      <x:c r="D480" s="164" t="str">
        <x:v>Tier 2 - retailer</x:v>
      </x:c>
      <x:c r="E480" s="164" t="str">
        <x:v>USA Colgate: Colgate Optic White Advanced Sparkling White Toothpaste with 2% Hydrogen Peroxide - Mint - 3.2oz/3pk</x:v>
      </x:c>
      <x:c r="F480" s="164" t="str">
        <x:v>SKU Library</x:v>
      </x:c>
      <x:c r="G480" s="167" t="str">
        <x:v>2026-08-31</x:v>
      </x:c>
    </x:row>
    <x:row r="481" ht="18" customHeight="1">
      <x:c r="A481" s="163" t="str">
        <x:v>SRC-0480</x:v>
      </x:c>
      <x:c r="B481" s="164" t="str">
        <x:v>https://www.target.com/p/colgate-sensitive-toothpaste-complete-protection-6oz-2pk/-/A-75563177</x:v>
      </x:c>
      <x:c r="C481" s="164" t="str">
        <x:v>Current retailer product page</x:v>
      </x:c>
      <x:c r="D481" s="164" t="str">
        <x:v>Tier 2 - retailer</x:v>
      </x:c>
      <x:c r="E481" s="164" t="str">
        <x:v>USA Colgate: Colgate Sensitive Complete Protection Fluoride Sensitive Teeth Toothpaste - Spearmint - 6oz/2pk</x:v>
      </x:c>
      <x:c r="F481" s="164" t="str">
        <x:v>SKU Library</x:v>
      </x:c>
      <x:c r="G481" s="167" t="str">
        <x:v>2026-08-31</x:v>
      </x:c>
    </x:row>
    <x:row r="482" ht="18" customHeight="1">
      <x:c r="A482" s="163" t="str">
        <x:v>SRC-0481</x:v>
      </x:c>
      <x:c r="B482" s="164" t="str">
        <x:v>https://www.target.com/p/colgate-sensitive-toothpaste-maximum-strength-with-whitening-fresh-mint-gel-6oz-3pk/-/A-79833015</x:v>
      </x:c>
      <x:c r="C482" s="164" t="str">
        <x:v>Current retailer product page</x:v>
      </x:c>
      <x:c r="D482" s="164" t="str">
        <x:v>Tier 2 - retailer</x:v>
      </x:c>
      <x:c r="E482" s="164" t="str">
        <x:v>USA Colgate: Colgate Sensitive Toothpaste Maximum Strength with Whitening - Fresh Mint Gel - 6oz/3pk</x:v>
      </x:c>
      <x:c r="F482" s="164" t="str">
        <x:v>SKU Library</x:v>
      </x:c>
      <x:c r="G482" s="167" t="str">
        <x:v>2026-08-31</x:v>
      </x:c>
    </x:row>
    <x:row r="483" ht="18" customHeight="1">
      <x:c r="A483" s="163" t="str">
        <x:v>SRC-0482</x:v>
      </x:c>
      <x:c r="B483" s="164" t="str">
        <x:v>https://www.target.com/p/colgate-sonic-electric-toothbrush-soft/-/A-94823738</x:v>
      </x:c>
      <x:c r="C483" s="164" t="str">
        <x:v>Current retailer product page</x:v>
      </x:c>
      <x:c r="D483" s="164" t="str">
        <x:v>Tier 2 - retailer</x:v>
      </x:c>
      <x:c r="E483" s="164" t="str">
        <x:v>USA Colgate: Colgate Optic White Adult Sonic Battery Powered Toothbrush - Soft</x:v>
      </x:c>
      <x:c r="F483" s="164" t="str">
        <x:v>SKU Library</x:v>
      </x:c>
      <x:c r="G483" s="167" t="str">
        <x:v>2026-08-31</x:v>
      </x:c>
    </x:row>
    <x:row r="484" ht="18" customHeight="1">
      <x:c r="A484" s="163" t="str">
        <x:v>SRC-0483</x:v>
      </x:c>
      <x:c r="B484" s="164" t="str">
        <x:v>https://www.target.com/p/colgate-total-advanced-deep-clean-toothpaste-4-8oz/-/A-76198337</x:v>
      </x:c>
      <x:c r="C484" s="164" t="str">
        <x:v>Current retailer product page</x:v>
      </x:c>
      <x:c r="D484" s="164" t="str">
        <x:v>Tier 2 - retailer</x:v>
      </x:c>
      <x:c r="E484" s="164" t="str">
        <x:v>USA Colgate: Colgate Total Active Prevention Deep Clean Whitening Toothpaste - Mint - 5.1oz</x:v>
      </x:c>
      <x:c r="F484" s="164" t="str">
        <x:v>SKU Library</x:v>
      </x:c>
      <x:c r="G484" s="167" t="str">
        <x:v>2026-08-31</x:v>
      </x:c>
    </x:row>
    <x:row r="485" ht="18" customHeight="1">
      <x:c r="A485" s="163" t="str">
        <x:v>SRC-0484</x:v>
      </x:c>
      <x:c r="B485" s="164" t="str">
        <x:v>https://www.target.com/p/colgate-total-foaming-clean-manual-toothbrush-soft-2ct/-/A-92283171</x:v>
      </x:c>
      <x:c r="C485" s="164" t="str">
        <x:v>Current retailer product page</x:v>
      </x:c>
      <x:c r="D485" s="164" t="str">
        <x:v>Tier 2 - retailer</x:v>
      </x:c>
      <x:c r="E485" s="164" t="str">
        <x:v>USA Colgate: Colgate Total Active Prevention Foaming Clean Manual Toothbrush - Soft - White - 2ct</x:v>
      </x:c>
      <x:c r="F485" s="164" t="str">
        <x:v>SKU Library</x:v>
      </x:c>
      <x:c r="G485" s="167" t="str">
        <x:v>2026-08-31</x:v>
      </x:c>
    </x:row>
    <x:row r="486" ht="18" customHeight="1">
      <x:c r="A486" s="163" t="str">
        <x:v>SRC-0485</x:v>
      </x:c>
      <x:c r="B486" s="164" t="str">
        <x:v>https://www.target.com/p/colgate-total-whitening-gel-toothpaste-5-1oz-2pk/-/A-13773799</x:v>
      </x:c>
      <x:c r="C486" s="164" t="str">
        <x:v>Current retailer product page</x:v>
      </x:c>
      <x:c r="D486" s="164" t="str">
        <x:v>Tier 2 - retailer</x:v>
      </x:c>
      <x:c r="E486" s="164" t="str">
        <x:v>USA Colgate: Colgate Total Whitening Fluoride Tarter Control Gel Toothpaste - 5.1oz/2pk: Sugar-Free, Gluten-Free, Vegan, Mint</x:v>
      </x:c>
      <x:c r="F486" s="164" t="str">
        <x:v>SKU Library</x:v>
      </x:c>
      <x:c r="G486" s="167" t="str">
        <x:v>2026-08-31</x:v>
      </x:c>
    </x:row>
    <x:row r="487" ht="18" customHeight="1">
      <x:c r="A487" s="163" t="str">
        <x:v>SRC-0486</x:v>
      </x:c>
      <x:c r="B487" s="164" t="str">
        <x:v>https://www.target.com/p/hello-whipped-dream-toothpaste-mellow-mint-4oz/-/A-94823720</x:v>
      </x:c>
      <x:c r="C487" s="164" t="str">
        <x:v>Availability evidence</x:v>
      </x:c>
      <x:c r="D487" s="164" t="str">
        <x:v>Tier 1</x:v>
      </x:c>
      <x:c r="E487" s="164" t="str">
        <x:v>Market presence</x:v>
      </x:c>
      <x:c r="F487" s="164" t="str">
        <x:v>Brand Repository: USA hello; SKU Library</x:v>
      </x:c>
      <x:c r="G487" s="167" t="str">
        <x:v>2026-08-31</x:v>
      </x:c>
    </x:row>
    <x:row r="488" ht="18" customHeight="1">
      <x:c r="A488" s="163" t="str">
        <x:v>SRC-0487</x:v>
      </x:c>
      <x:c r="B488" s="164" t="str">
        <x:v>https://www.target.com/p/softsoap-spring-liquid-hand-soap-lavender-dreams-11-25-fl-oz/-/A-94846793</x:v>
      </x:c>
      <x:c r="C488" s="164" t="str">
        <x:v>Current retailer product page</x:v>
      </x:c>
      <x:c r="D488" s="164" t="str">
        <x:v>Tier 2 - retailer</x:v>
      </x:c>
      <x:c r="E488" s="164" t="str">
        <x:v>USA Softsoap: Softsoap Spring Liquid Hand Soap - Lavender Dreams - 11.25 fl oz</x:v>
      </x:c>
      <x:c r="F488" s="164" t="str">
        <x:v>SKU Library</x:v>
      </x:c>
      <x:c r="G488" s="167" t="str">
        <x:v>2026-08-31</x:v>
      </x:c>
    </x:row>
    <x:row r="489" ht="18" customHeight="1">
      <x:c r="A489" s="163" t="str">
        <x:v>SRC-0488</x:v>
      </x:c>
      <x:c r="B489" s="164" t="str">
        <x:v>https://www.target.com/p/softsoap-spring-liquid-hand-soap-lemon-serenade-11-25-fl-oz/-/A-94846797</x:v>
      </x:c>
      <x:c r="C489" s="164" t="str">
        <x:v>Current retailer product page</x:v>
      </x:c>
      <x:c r="D489" s="164" t="str">
        <x:v>Tier 2 - retailer</x:v>
      </x:c>
      <x:c r="E489" s="164" t="str">
        <x:v>USA Softsoap: Softsoap Spring Liquid Hand Soap - Lemon Serenade - 11.25 fl oz</x:v>
      </x:c>
      <x:c r="F489" s="164" t="str">
        <x:v>SKU Library</x:v>
      </x:c>
      <x:c r="G489" s="167" t="str">
        <x:v>2026-08-31</x:v>
      </x:c>
    </x:row>
    <x:row r="490" ht="18" customHeight="1">
      <x:c r="A490" s="163" t="str">
        <x:v>SRC-0489</x:v>
      </x:c>
      <x:c r="B490" s="164" t="str">
        <x:v>https://www.target.com/p/speed-stick-aluminum-free-men-39-s-deodorant-regular-3oz-2pk/-/A-14244616</x:v>
      </x:c>
      <x:c r="C490" s="164" t="str">
        <x:v>Current retailer product page</x:v>
      </x:c>
      <x:c r="D490" s="164" t="str">
        <x:v>Tier 2 - retailer</x:v>
      </x:c>
      <x:c r="E490" s="164" t="str">
        <x:v>USA Speed Stick: Speed Stick Solid Deodorant - Fresh Scent - Aluminum-Free 3oz/2pk</x:v>
      </x:c>
      <x:c r="F490" s="164" t="str">
        <x:v>SKU Library</x:v>
      </x:c>
      <x:c r="G490" s="167" t="str">
        <x:v>2026-08-31</x:v>
      </x:c>
    </x:row>
    <x:row r="491" ht="18" customHeight="1">
      <x:c r="A491" s="163" t="str">
        <x:v>SRC-0490</x:v>
      </x:c>
      <x:c r="B491" s="164" t="str">
        <x:v>https://www.target.com/p/speed-stick-antiperspirant-deodorant-power-fresh-scent-strong-sweat-protection-for-active-days-3-oz/-/A-1008642051</x:v>
      </x:c>
      <x:c r="C491" s="164" t="str">
        <x:v>Current retailer product page</x:v>
      </x:c>
      <x:c r="D491" s="164" t="str">
        <x:v>Tier 2 - retailer</x:v>
      </x:c>
      <x:c r="E491" s="164" t="str">
        <x:v>USA Speed Stick: Speed Stick Antiperspirant Deodorant Power Fresh Scent, Strong Sweat Protection for Active Days, 3 Oz</x:v>
      </x:c>
      <x:c r="F491" s="164" t="str">
        <x:v>SKU Library</x:v>
      </x:c>
      <x:c r="G491" s="167" t="str">
        <x:v>2026-08-31</x:v>
      </x:c>
    </x:row>
    <x:row r="492" ht="18" customHeight="1">
      <x:c r="A492" s="163" t="str">
        <x:v>SRC-0491</x:v>
      </x:c>
      <x:c r="B492" s="164" t="str">
        <x:v>https://www.target.com/p/speed-stick-deodorant-for-men-musk-scent-long-lasting-daily-odor-protection-solid-stick-3-oz/-/A-1008634985</x:v>
      </x:c>
      <x:c r="C492" s="164" t="str">
        <x:v>Current retailer product page</x:v>
      </x:c>
      <x:c r="D492" s="164" t="str">
        <x:v>Tier 2 - retailer</x:v>
      </x:c>
      <x:c r="E492" s="164" t="str">
        <x:v>USA Speed Stick: Speed Stick Deodorant for Men Musk Scent, Long-Lasting Daily Odor Protection, Solid Stick, 3 Oz</x:v>
      </x:c>
      <x:c r="F492" s="164" t="str">
        <x:v>SKU Library</x:v>
      </x:c>
      <x:c r="G492" s="167" t="str">
        <x:v>2026-08-31</x:v>
      </x:c>
    </x:row>
    <x:row r="493" ht="18" customHeight="1">
      <x:c r="A493" s="163" t="str">
        <x:v>SRC-0492</x:v>
      </x:c>
      <x:c r="B493" s="164" t="str">
        <x:v>https://www.target.com/p/speed-stick-deodorant-for-men-ocean-surf-scent-long-lasting-daily-odor-protection-solid-stick-3-oz/-/A-1008642038</x:v>
      </x:c>
      <x:c r="C493" s="164" t="str">
        <x:v>Current retailer product page</x:v>
      </x:c>
      <x:c r="D493" s="164" t="str">
        <x:v>Tier 2 - retailer</x:v>
      </x:c>
      <x:c r="E493" s="164" t="str">
        <x:v>USA Speed Stick: Speed Stick Deodorant for Men Ocean Surf Scent, Long-Lasting Daily Odor Protection, Solid Stick, 3 Oz</x:v>
      </x:c>
      <x:c r="F493" s="164" t="str">
        <x:v>SKU Library</x:v>
      </x:c>
      <x:c r="G493" s="167" t="str">
        <x:v>2026-08-31</x:v>
      </x:c>
    </x:row>
    <x:row r="494" ht="18" customHeight="1">
      <x:c r="A494" s="163" t="str">
        <x:v>SRC-0493</x:v>
      </x:c>
      <x:c r="B494" s="164" t="str">
        <x:v>https://www.target.com/p/speed-stick-deodorant-for-men-regular-scent-daily-odor-protection-with-classic-freshness-1-8-oz/-/A-1008634949</x:v>
      </x:c>
      <x:c r="C494" s="164" t="str">
        <x:v>Current retailer product page</x:v>
      </x:c>
      <x:c r="D494" s="164" t="str">
        <x:v>Tier 2 - retailer</x:v>
      </x:c>
      <x:c r="E494" s="164" t="str">
        <x:v>USA Speed Stick: Speed Stick Deodorant for Men Regular Scent, Daily Odor Protection with Classic Freshness, 1.8 Oz</x:v>
      </x:c>
      <x:c r="F494" s="164" t="str">
        <x:v>SKU Library</x:v>
      </x:c>
      <x:c r="G494" s="167" t="str">
        <x:v>2026-08-31</x:v>
      </x:c>
    </x:row>
    <x:row r="495" ht="18" customHeight="1">
      <x:c r="A495" s="163" t="str">
        <x:v>SRC-0494</x:v>
      </x:c>
      <x:c r="B495" s="164" t="str">
        <x:v>https://www.target.com/p/speed-stick-power-fresh-antiperspirant-deodorant-for-men-all-day-sweat-and-odor-protection-1-8-oz/-/A-1008634983</x:v>
      </x:c>
      <x:c r="C495" s="164" t="str">
        <x:v>Current retailer product page</x:v>
      </x:c>
      <x:c r="D495" s="164" t="str">
        <x:v>Tier 2 - retailer</x:v>
      </x:c>
      <x:c r="E495" s="164" t="str">
        <x:v>USA Speed Stick: Speed Stick Power Fresh Antiperspirant Deodorant for Men, All-Day Sweat and Odor Protection, 1.8 Oz</x:v>
      </x:c>
      <x:c r="F495" s="164" t="str">
        <x:v>SKU Library</x:v>
      </x:c>
      <x:c r="G495" s="167" t="str">
        <x:v>2026-08-31</x:v>
      </x:c>
    </x:row>
    <x:row r="496" ht="18" customHeight="1">
      <x:c r="A496" s="163" t="str">
        <x:v>SRC-0495</x:v>
      </x:c>
      <x:c r="B496" s="164" t="str">
        <x:v>https://www.target.com/p/speed-stick-power-ultimate-sport-antiperspirant-deodorant-for-men-all-day-odor-and-sweat-control-3-oz/-/A-1008634973</x:v>
      </x:c>
      <x:c r="C496" s="164" t="str">
        <x:v>Current retailer product page</x:v>
      </x:c>
      <x:c r="D496" s="164" t="str">
        <x:v>Tier 2 - retailer</x:v>
      </x:c>
      <x:c r="E496" s="164" t="str">
        <x:v>USA Speed Stick: Speed Stick Power Ultimate Sport Antiperspirant Deodorant for Men, All-Day Odor and Sweat Control, 3 Oz</x:v>
      </x:c>
      <x:c r="F496" s="164" t="str">
        <x:v>SKU Library</x:v>
      </x:c>
      <x:c r="G496" s="167" t="str">
        <x:v>2026-08-31</x:v>
      </x:c>
    </x:row>
    <x:row r="497" ht="18" customHeight="1">
      <x:c r="A497" s="163" t="str">
        <x:v>SRC-0496</x:v>
      </x:c>
      <x:c r="B497" s="164" t="str">
        <x:v>https://www.target.com/p/tom-39-s-of-maine-silly-strawberry-childrens-anticavity-toothpaste-5-1oz/-/A-76626522</x:v>
      </x:c>
      <x:c r="C497" s="164" t="str">
        <x:v>Availability evidence</x:v>
      </x:c>
      <x:c r="D497" s="164" t="str">
        <x:v>Tier 1</x:v>
      </x:c>
      <x:c r="E497" s="164" t="str">
        <x:v>Market presence</x:v>
      </x:c>
      <x:c r="F497" s="164" t="str">
        <x:v>Brand Repository: USA Tom's of Maine; SKU Library</x:v>
      </x:c>
      <x:c r="G497" s="167" t="str">
        <x:v>2026-08-31</x:v>
      </x:c>
    </x:row>
    <x:row r="498" ht="18" customHeight="1">
      <x:c r="A498" s="163" t="str">
        <x:v>SRC-0497</x:v>
      </x:c>
      <x:c r="B498" s="164" t="str">
        <x:v>https://www.target.com/p/tom-39-s-of-maine-whole-care-anti-cavity-toothpaste-spearmint-4oz-3pk/-/A-79373625</x:v>
      </x:c>
      <x:c r="C498" s="164" t="str">
        <x:v>Current retailer product page</x:v>
      </x:c>
      <x:c r="D498" s="164" t="str">
        <x:v>Tier 2 - retailer</x:v>
      </x:c>
      <x:c r="E498" s="164" t="str">
        <x:v>USA Tom's of Maine: Tom's of Maine Whole Care Anti-cavity Toothpaste - Spearmint - 4oz/3pk</x:v>
      </x:c>
      <x:c r="F498" s="164" t="str">
        <x:v>SKU Library</x:v>
      </x:c>
      <x:c r="G498" s="167" t="str">
        <x:v>2026-08-31</x:v>
      </x:c>
    </x:row>
    <x:row r="499" ht="18" customHeight="1">
      <x:c r="A499" s="163" t="str">
        <x:v>SRC-0498</x:v>
      </x:c>
      <x:c r="B499" s="164" t="str">
        <x:v>https://www.tomsofmaine.com/</x:v>
      </x:c>
      <x:c r="C499" s="164" t="str">
        <x:v>Official brand/corporate page</x:v>
      </x:c>
      <x:c r="D499" s="164" t="str">
        <x:v>Tier 1 - first party</x:v>
      </x:c>
      <x:c r="E499" s="164" t="str">
        <x:v>Positioning, assets and innovation themes</x:v>
      </x:c>
      <x:c r="F499" s="164" t="str">
        <x:v>Brand Repository: USA Tom's of Maine; Brand Repository: CA Tom's of Maine</x:v>
      </x:c>
      <x:c r="G499" s="167" t="str">
        <x:v>2026-08-31</x:v>
      </x:c>
    </x:row>
    <x:row r="500" ht="18" customHeight="1">
      <x:c r="A500" s="163" t="str">
        <x:v>SRC-0499</x:v>
      </x:c>
      <x:c r="B500" s="164" t="str">
        <x:v>https://www.tomsofmaine.com/products/adult-holiday-brush-and-rinse-bundle</x:v>
      </x:c>
      <x:c r="C500" s="164" t="str">
        <x:v>Official product page</x:v>
      </x:c>
      <x:c r="D500" s="164" t="str">
        <x:v>Tier 1 - first party</x:v>
      </x:c>
      <x:c r="E500" s="164" t="str">
        <x:v>USA Tom's of Maine: Adult Holiday Natural Brush &amp; Rinse Bundle - Tom's of Maine</x:v>
      </x:c>
      <x:c r="F500" s="164" t="str">
        <x:v>SKU Library</x:v>
      </x:c>
      <x:c r="G500" s="167" t="str">
        <x:v>2026-08-31</x:v>
      </x:c>
    </x:row>
    <x:row r="501" ht="18" customHeight="1">
      <x:c r="A501" s="163" t="str">
        <x:v>SRC-0500</x:v>
      </x:c>
      <x:c r="B501" s="164" t="str">
        <x:v>https://www.tomsofmaine.com/products/antiplaque-adult-soft-toothbrush</x:v>
      </x:c>
      <x:c r="C501" s="164" t="str">
        <x:v>Official product page</x:v>
      </x:c>
      <x:c r="D501" s="164" t="str">
        <x:v>Tier 1 - first party</x:v>
      </x:c>
      <x:c r="E501" s="164" t="str">
        <x:v>USA Tom's of Maine: Antiplaque Adult Soft Toothbrush - Tom's of Maine</x:v>
      </x:c>
      <x:c r="F501" s="164" t="str">
        <x:v>SKU Library</x:v>
      </x:c>
      <x:c r="G501" s="167" t="str">
        <x:v>2026-08-31</x:v>
      </x:c>
    </x:row>
    <x:row r="502" ht="18" customHeight="1">
      <x:c r="A502" s="163" t="str">
        <x:v>SRC-0501</x:v>
      </x:c>
      <x:c r="B502" s="164" t="str">
        <x:v>https://www.tomsofmaine.com/products/best-sellers-toothpaste-trio</x:v>
      </x:c>
      <x:c r="C502" s="164" t="str">
        <x:v>Official product page</x:v>
      </x:c>
      <x:c r="D502" s="164" t="str">
        <x:v>Tier 1 - first party</x:v>
      </x:c>
      <x:c r="E502" s="164" t="str">
        <x:v>USA Tom's of Maine: Best Sellers Toothpaste Trio</x:v>
      </x:c>
      <x:c r="F502" s="164" t="str">
        <x:v>SKU Library</x:v>
      </x:c>
      <x:c r="G502" s="167" t="str">
        <x:v>2026-08-31</x:v>
      </x:c>
    </x:row>
    <x:row r="503" ht="18" customHeight="1">
      <x:c r="A503" s="163" t="str">
        <x:v>SRC-0502</x:v>
      </x:c>
      <x:c r="B503" s="164" t="str">
        <x:v>https://www.tomsofmaine.com/products/best-sellers-toothpaste-trio?_fid=2e08d8206&amp;_pos=5&amp;_ss=c&amp;bvstate=pg%3A13%2Fct%3Ar&amp;variant=44327092682928</x:v>
      </x:c>
      <x:c r="C503" s="164" t="str">
        <x:v>Official product page</x:v>
      </x:c>
      <x:c r="D503" s="164" t="str">
        <x:v>Tier 1 - first party</x:v>
      </x:c>
      <x:c r="E503" s="164" t="str">
        <x:v>USA Tom's of Maine: Best Sellers Toothpaste Trio - Tom's of Maine</x:v>
      </x:c>
      <x:c r="F503" s="164" t="str">
        <x:v>SKU Library</x:v>
      </x:c>
      <x:c r="G503" s="167" t="str">
        <x:v>2026-08-31</x:v>
      </x:c>
    </x:row>
    <x:row r="504" ht="18" customHeight="1">
      <x:c r="A504" s="163" t="str">
        <x:v>SRC-0503</x:v>
      </x:c>
      <x:c r="B504" s="164" t="str">
        <x:v>https://www.tomsofmaine.com/products/clean-coast-deodorant</x:v>
      </x:c>
      <x:c r="C504" s="164" t="str">
        <x:v>Official product page</x:v>
      </x:c>
      <x:c r="D504" s="164" t="str">
        <x:v>Tier 1 - first party</x:v>
      </x:c>
      <x:c r="E504" s="164" t="str">
        <x:v>USA Tom's of Maine: Clean Coast Deodorant - Tom's of Maine</x:v>
      </x:c>
      <x:c r="F504" s="164" t="str">
        <x:v>SKU Library</x:v>
      </x:c>
      <x:c r="G504" s="167" t="str">
        <x:v>2026-08-31</x:v>
      </x:c>
    </x:row>
    <x:row r="505" ht="18" customHeight="1">
      <x:c r="A505" s="163" t="str">
        <x:v>SRC-0504</x:v>
      </x:c>
      <x:c r="B505" s="164" t="str">
        <x:v>https://www.tomsofmaine.com/products/cucumber-aloe-deodorant</x:v>
      </x:c>
      <x:c r="C505" s="164" t="str">
        <x:v>Official product page</x:v>
      </x:c>
      <x:c r="D505" s="164" t="str">
        <x:v>Tier 1 - first party</x:v>
      </x:c>
      <x:c r="E505" s="164" t="str">
        <x:v>USA Tom's of Maine: Cucumber Aloe Deodorant - Tom's of Maine</x:v>
      </x:c>
      <x:c r="F505" s="164" t="str">
        <x:v>SKU Library</x:v>
      </x:c>
      <x:c r="G505" s="167" t="str">
        <x:v>2026-08-31</x:v>
      </x:c>
    </x:row>
    <x:row r="506" ht="18" customHeight="1">
      <x:c r="A506" s="163" t="str">
        <x:v>SRC-0505</x:v>
      </x:c>
      <x:c r="B506" s="164" t="str">
        <x:v>https://www.tomsofmaine.com/products/deep-forest-aluminum-free-deodorant</x:v>
      </x:c>
      <x:c r="C506" s="164" t="str">
        <x:v>Official product page</x:v>
      </x:c>
      <x:c r="D506" s="164" t="str">
        <x:v>Tier 1 - first party</x:v>
      </x:c>
      <x:c r="E506" s="164" t="str">
        <x:v>USA Tom's of Maine: Deep Forest Deodorant - Tom's of Maine</x:v>
      </x:c>
      <x:c r="F506" s="164" t="str">
        <x:v>SKU Library</x:v>
      </x:c>
      <x:c r="G506" s="167" t="str">
        <x:v>2026-08-31</x:v>
      </x:c>
    </x:row>
    <x:row r="507" ht="18" customHeight="1">
      <x:c r="A507" s="163" t="str">
        <x:v>SRC-0506</x:v>
      </x:c>
      <x:c r="B507" s="164" t="str">
        <x:v>https://www.tomsofmaine.com/products/extra-soft-kids-toothbrush</x:v>
      </x:c>
      <x:c r="C507" s="164" t="str">
        <x:v>Official product page</x:v>
      </x:c>
      <x:c r="D507" s="164" t="str">
        <x:v>Tier 1 - first party</x:v>
      </x:c>
      <x:c r="E507" s="164" t="str">
        <x:v>USA Tom's of Maine: Extra Soft Kid's Toothbrush - Tom's of Maine</x:v>
      </x:c>
      <x:c r="F507" s="164" t="str">
        <x:v>SKU Library</x:v>
      </x:c>
      <x:c r="G507" s="167" t="str">
        <x:v>2026-08-31</x:v>
      </x:c>
    </x:row>
    <x:row r="508" ht="18" customHeight="1">
      <x:c r="A508" s="163" t="str">
        <x:v>SRC-0507</x:v>
      </x:c>
      <x:c r="B508" s="164" t="str">
        <x:v>https://www.tomsofmaine.com/products/fluoride-free-antiplaque-whitening-peppermint-natural-toothpaste</x:v>
      </x:c>
      <x:c r="C508" s="164" t="str">
        <x:v>Official product page</x:v>
      </x:c>
      <x:c r="D508" s="164" t="str">
        <x:v>Tier 1 - first party</x:v>
      </x:c>
      <x:c r="E508" s="164" t="str">
        <x:v>USA Tom's of Maine: Fluoride-Free Antiplaque &amp; Whitening Peppermint ...</x:v>
      </x:c>
      <x:c r="F508" s="164" t="str">
        <x:v>SKU Library</x:v>
      </x:c>
      <x:c r="G508" s="167" t="str">
        <x:v>2026-08-31</x:v>
      </x:c>
    </x:row>
    <x:row r="509" ht="18" customHeight="1">
      <x:c r="A509" s="163" t="str">
        <x:v>SRC-0508</x:v>
      </x:c>
      <x:c r="B509" s="164" t="str">
        <x:v>https://www.tomsofmaine.com/products/fluoride-free-antiplaque-whitening-peppermint-toothpaste-2-pack</x:v>
      </x:c>
      <x:c r="C509" s="164" t="str">
        <x:v>Official product page</x:v>
      </x:c>
      <x:c r="D509" s="164" t="str">
        <x:v>Tier 1 - first party</x:v>
      </x:c>
      <x:c r="E509" s="164" t="str">
        <x:v>USA Tom's of Maine: Fluoride-Free Antiplaque &amp; Whitening Peppermint Toothpaste (2 Pack) - Tom's of Maine</x:v>
      </x:c>
      <x:c r="F509" s="164" t="str">
        <x:v>SKU Library</x:v>
      </x:c>
      <x:c r="G509" s="167" t="str">
        <x:v>2026-08-31</x:v>
      </x:c>
    </x:row>
    <x:row r="510" ht="18" customHeight="1">
      <x:c r="A510" s="163" t="str">
        <x:v>SRC-0509</x:v>
      </x:c>
      <x:c r="B510" s="164" t="str">
        <x:v>https://www.tomsofmaine.com/products/fluoride-free-antiplaque-whitening-spearmint-toothpaste</x:v>
      </x:c>
      <x:c r="C510" s="164" t="str">
        <x:v>Official product page</x:v>
      </x:c>
      <x:c r="D510" s="164" t="str">
        <x:v>Tier 1 - first party</x:v>
      </x:c>
      <x:c r="E510" s="164" t="str">
        <x:v>USA Tom's of Maine: Fluoride-Free Antiplaque &amp; Whitening Spearmint Toothpaste - Tom's of Maine</x:v>
      </x:c>
      <x:c r="F510" s="164" t="str">
        <x:v>SKU Library</x:v>
      </x:c>
      <x:c r="G510" s="167" t="str">
        <x:v>2026-08-31</x:v>
      </x:c>
    </x:row>
    <x:row r="511" ht="18" customHeight="1">
      <x:c r="A511" s="163" t="str">
        <x:v>SRC-0510</x:v>
      </x:c>
      <x:c r="B511" s="164" t="str">
        <x:v>https://www.tomsofmaine.com/products/fluoride-free-antiplaque-whitening-spearmint-toothpaste-gel</x:v>
      </x:c>
      <x:c r="C511" s="164" t="str">
        <x:v>Official product page</x:v>
      </x:c>
      <x:c r="D511" s="164" t="str">
        <x:v>Tier 1 - first party</x:v>
      </x:c>
      <x:c r="E511" s="164" t="str">
        <x:v>USA Tom's of Maine: Fluoride-Free Antiplaque &amp; Whitening Spearmint Gel - Tom's of Maine</x:v>
      </x:c>
      <x:c r="F511" s="164" t="str">
        <x:v>SKU Library</x:v>
      </x:c>
      <x:c r="G511" s="167" t="str">
        <x:v>2026-08-31</x:v>
      </x:c>
    </x:row>
    <x:row r="512" ht="18" customHeight="1">
      <x:c r="A512" s="163" t="str">
        <x:v>SRC-0511</x:v>
      </x:c>
      <x:c r="B512" s="164" t="str">
        <x:v>https://www.tomsofmaine.com/products/fluoride-free-rapid-relief-sensitive-fresh-mint-natural-toothpaste-new-sku</x:v>
      </x:c>
      <x:c r="C512" s="164" t="str">
        <x:v>Official product page</x:v>
      </x:c>
      <x:c r="D512" s="164" t="str">
        <x:v>Tier 1 - first party</x:v>
      </x:c>
      <x:c r="E512" s="164" t="str">
        <x:v>USA Tom's of Maine: Rapid Relief Sensitive Fluoride-Free Toothpaste - Tom's of Maine</x:v>
      </x:c>
      <x:c r="F512" s="164" t="str">
        <x:v>SKU Library</x:v>
      </x:c>
      <x:c r="G512" s="167" t="str">
        <x:v>2026-08-31</x:v>
      </x:c>
    </x:row>
    <x:row r="513" ht="18" customHeight="1">
      <x:c r="A513" s="163" t="str">
        <x:v>SRC-0512</x:v>
      </x:c>
      <x:c r="B513" s="164" t="str">
        <x:v>https://www.tomsofmaine.com/products/grab-n-go-travel-size-anticavity-fresh-mint-toothpaste</x:v>
      </x:c>
      <x:c r="C513" s="164" t="str">
        <x:v>Official product page</x:v>
      </x:c>
      <x:c r="D513" s="164" t="str">
        <x:v>Tier 1 - first party</x:v>
      </x:c>
      <x:c r="E513" s="164" t="str">
        <x:v>USA Tom's of Maine: Grab n' Go Whitening Anticavity Soothing Mint Toothpaste</x:v>
      </x:c>
      <x:c r="F513" s="164" t="str">
        <x:v>SKU Library</x:v>
      </x:c>
      <x:c r="G513" s="167" t="str">
        <x:v>2026-08-31</x:v>
      </x:c>
    </x:row>
    <x:row r="514" ht="18" customHeight="1">
      <x:c r="A514" s="163" t="str">
        <x:v>SRC-0513</x:v>
      </x:c>
      <x:c r="B514" s="164" t="str">
        <x:v>https://www.tomsofmaine.com/products/grab-n-go-travel-size-fluoride-free-fresh-mint-toothpaste</x:v>
      </x:c>
      <x:c r="C514" s="164" t="str">
        <x:v>Official product page</x:v>
      </x:c>
      <x:c r="D514" s="164" t="str">
        <x:v>Tier 1 - first party</x:v>
      </x:c>
      <x:c r="E514" s="164" t="str">
        <x:v>USA Tom's of Maine: Grab n' Go Whitening Paste Fluoride-Free Toothpaste - Tom's of Maine</x:v>
      </x:c>
      <x:c r="F514" s="164" t="str">
        <x:v>SKU Library</x:v>
      </x:c>
      <x:c r="G514" s="167" t="str">
        <x:v>2026-08-31</x:v>
      </x:c>
    </x:row>
    <x:row r="515" ht="18" customHeight="1">
      <x:c r="A515" s="163" t="str">
        <x:v>SRC-0514</x:v>
      </x:c>
      <x:c r="B515" s="164" t="str">
        <x:v>https://www.tomsofmaine.com/products/kids-holiday-brush-and-rine-kids-bundle?bvstate=pg%3A8%2Fct%3Ar&amp;variant=44834630467760</x:v>
      </x:c>
      <x:c r="C515" s="164" t="str">
        <x:v>Official product page</x:v>
      </x:c>
      <x:c r="D515" s="164" t="str">
        <x:v>Tier 1 - first party</x:v>
      </x:c>
      <x:c r="E515" s="164" t="str">
        <x:v>USA Tom's of Maine: Kids Holiday Brush &amp; Rinse Bundle - Tom's of Maine</x:v>
      </x:c>
      <x:c r="F515" s="164" t="str">
        <x:v>SKU Library</x:v>
      </x:c>
      <x:c r="G515" s="167" t="str">
        <x:v>2026-08-31</x:v>
      </x:c>
    </x:row>
    <x:row r="516" ht="18" customHeight="1">
      <x:c r="A516" s="163" t="str">
        <x:v>SRC-0515</x:v>
      </x:c>
      <x:c r="B516" s="164" t="str">
        <x:v>https://www.tomsofmaine.com/products/kids-natural-toothpaste-variety-pack</x:v>
      </x:c>
      <x:c r="C516" s="164" t="str">
        <x:v>Official product page</x:v>
      </x:c>
      <x:c r="D516" s="164" t="str">
        <x:v>Tier 1 - first party</x:v>
      </x:c>
      <x:c r="E516" s="164" t="str">
        <x:v>USA Tom's of Maine: Kids Natural Toothpaste Variety Pack</x:v>
      </x:c>
      <x:c r="F516" s="164" t="str">
        <x:v>SKU Library</x:v>
      </x:c>
      <x:c r="G516" s="167" t="str">
        <x:v>2026-08-31</x:v>
      </x:c>
    </x:row>
    <x:row r="517" ht="18" customHeight="1">
      <x:c r="A517" s="163" t="str">
        <x:v>SRC-0516</x:v>
      </x:c>
      <x:c r="B517" s="164" t="str">
        <x:v>https://www.tomsofmaine.com/products/kids-natural-toothpaste-variety-pack?bvstate=pg%3A7%2Fct%3Ar&amp;variant=44286260510896</x:v>
      </x:c>
      <x:c r="C517" s="164" t="str">
        <x:v>Official product page</x:v>
      </x:c>
      <x:c r="D517" s="164" t="str">
        <x:v>Tier 1 - first party</x:v>
      </x:c>
      <x:c r="E517" s="164" t="str">
        <x:v>USA Tom's of Maine: Kids Natural Toothpaste Variety Pack - Tom's of Maine</x:v>
      </x:c>
      <x:c r="F517" s="164" t="str">
        <x:v>SKU Library</x:v>
      </x:c>
      <x:c r="G517" s="167" t="str">
        <x:v>2026-08-31</x:v>
      </x:c>
    </x:row>
    <x:row r="518" ht="18" customHeight="1">
      <x:c r="A518" s="163" t="str">
        <x:v>SRC-0517</x:v>
      </x:c>
      <x:c r="B518" s="164" t="str">
        <x:v>https://www.tomsofmaine.com/products/most-loved-deodorant-bundle</x:v>
      </x:c>
      <x:c r="C518" s="164" t="str">
        <x:v>Official product page</x:v>
      </x:c>
      <x:c r="D518" s="164" t="str">
        <x:v>Tier 1 - first party</x:v>
      </x:c>
      <x:c r="E518" s="164" t="str">
        <x:v>USA Tom's of Maine: Most-Loved Deodorant Bundle - Tom's of Maine</x:v>
      </x:c>
      <x:c r="F518" s="164" t="str">
        <x:v>SKU Library</x:v>
      </x:c>
      <x:c r="G518" s="167" t="str">
        <x:v>2026-08-31</x:v>
      </x:c>
    </x:row>
    <x:row r="519" ht="18" customHeight="1">
      <x:c r="A519" s="163" t="str">
        <x:v>SRC-0518</x:v>
      </x:c>
      <x:c r="B519" s="164" t="str">
        <x:v>https://www.tomsofmaine.com/products/natural-activated-charcoal-peppermint-toothpaste-with-fluoride</x:v>
      </x:c>
      <x:c r="C519" s="164" t="str">
        <x:v>Availability evidence</x:v>
      </x:c>
      <x:c r="D519" s="164" t="str">
        <x:v>Tier 1</x:v>
      </x:c>
      <x:c r="E519" s="164" t="str">
        <x:v>Market presence</x:v>
      </x:c>
      <x:c r="F519" s="164" t="str">
        <x:v>Brand Repository: USA Tom's of Maine; SKU Library</x:v>
      </x:c>
      <x:c r="G519" s="167" t="str">
        <x:v>2026-08-31</x:v>
      </x:c>
    </x:row>
    <x:row r="520" ht="18" customHeight="1">
      <x:c r="A520" s="163" t="str">
        <x:v>SRC-0519</x:v>
      </x:c>
      <x:c r="B520" s="164" t="str">
        <x:v>https://www.tomsofmaine.com/products/natural-fluoride-free-toddler-training-toothpaste</x:v>
      </x:c>
      <x:c r="C520" s="164" t="str">
        <x:v>Official product page</x:v>
      </x:c>
      <x:c r="D520" s="164" t="str">
        <x:v>Tier 1 - first party</x:v>
      </x:c>
      <x:c r="E520" s="164" t="str">
        <x:v>USA Tom's of Maine: Fluoride-Free Toddler Natural Training Toothpaste</x:v>
      </x:c>
      <x:c r="F520" s="164" t="str">
        <x:v>SKU Library</x:v>
      </x:c>
      <x:c r="G520" s="167" t="str">
        <x:v>2026-08-31</x:v>
      </x:c>
    </x:row>
    <x:row r="521" ht="18" customHeight="1">
      <x:c r="A521" s="163" t="str">
        <x:v>SRC-0520</x:v>
      </x:c>
      <x:c r="B521" s="164" t="str">
        <x:v>https://www.tomsofmaine.com/products/oral-care/mouthwash/childrens-anticavity-mouth-rinse-silly-strawberry?bvstate=pg:2/ct:r</x:v>
      </x:c>
      <x:c r="C521" s="164" t="str">
        <x:v>Official product page</x:v>
      </x:c>
      <x:c r="D521" s="164" t="str">
        <x:v>Tier 1 - first party</x:v>
      </x:c>
      <x:c r="E521" s="164" t="str">
        <x:v>USA Tom's of Maine: Children's Anticavity Mouth Rinse - Tom's of Maine</x:v>
      </x:c>
      <x:c r="F521" s="164" t="str">
        <x:v>SKU Library</x:v>
      </x:c>
      <x:c r="G521" s="167" t="str">
        <x:v>2026-08-31</x:v>
      </x:c>
    </x:row>
    <x:row r="522" ht="18" customHeight="1">
      <x:c r="A522" s="163" t="str">
        <x:v>SRC-0521</x:v>
      </x:c>
      <x:c r="B522" s="164" t="str">
        <x:v>https://www.tomsofmaine.com/products/outrageous-orange-mango-kids-fluoride-natural-toothpaste</x:v>
      </x:c>
      <x:c r="C522" s="164" t="str">
        <x:v>Official product page</x:v>
      </x:c>
      <x:c r="D522" s="164" t="str">
        <x:v>Tier 1 - first party</x:v>
      </x:c>
      <x:c r="E522" s="164" t="str">
        <x:v>USA Tom's of Maine: Outrageous Orange Mango Kids Toothpaste with Fluoride - Tom's of Maine</x:v>
      </x:c>
      <x:c r="F522" s="164" t="str">
        <x:v>SKU Library</x:v>
      </x:c>
      <x:c r="G522" s="167" t="str">
        <x:v>2026-08-31</x:v>
      </x:c>
    </x:row>
    <x:row r="523" ht="18" customHeight="1">
      <x:c r="A523" s="163" t="str">
        <x:v>SRC-0522</x:v>
      </x:c>
      <x:c r="B523" s="164" t="str">
        <x:v>https://www.tomsofmaine.com/products/sandalwood-vanilla-deodorant</x:v>
      </x:c>
      <x:c r="C523" s="164" t="str">
        <x:v>Official product page</x:v>
      </x:c>
      <x:c r="D523" s="164" t="str">
        <x:v>Tier 1 - first party</x:v>
      </x:c>
      <x:c r="E523" s="164" t="str">
        <x:v>USA Tom's of Maine: Sandalwood Vanilla Deodorant - Tom's of Maine</x:v>
      </x:c>
      <x:c r="F523" s="164" t="str">
        <x:v>SKU Library</x:v>
      </x:c>
      <x:c r="G523" s="167" t="str">
        <x:v>2026-08-31</x:v>
      </x:c>
    </x:row>
    <x:row r="524" ht="18" customHeight="1">
      <x:c r="A524" s="163" t="str">
        <x:v>SRC-0523</x:v>
      </x:c>
      <x:c r="B524" s="164" t="str">
        <x:v>https://www.tomsofmaine.com/products/silly-strawberry-childrens-anticavity-fluoride-rinse</x:v>
      </x:c>
      <x:c r="C524" s="164" t="str">
        <x:v>Official product page</x:v>
      </x:c>
      <x:c r="D524" s="164" t="str">
        <x:v>Tier 1 - first party</x:v>
      </x:c>
      <x:c r="E524" s="164" t="str">
        <x:v>USA Tom's of Maine: Silly Strawberry Children's Anticavity Mouth Rinse - Tom's of Maine</x:v>
      </x:c>
      <x:c r="F524" s="164" t="str">
        <x:v>SKU Library</x:v>
      </x:c>
      <x:c r="G524" s="167" t="str">
        <x:v>2026-08-31</x:v>
      </x:c>
    </x:row>
    <x:row r="525" ht="18" customHeight="1">
      <x:c r="A525" s="163" t="str">
        <x:v>SRC-0524</x:v>
      </x:c>
      <x:c r="B525" s="164" t="str">
        <x:v>https://www.tomsofmaine.com/products/silly-strawberry-kids-anticavity-toothpaste</x:v>
      </x:c>
      <x:c r="C525" s="164" t="str">
        <x:v>Official product page</x:v>
      </x:c>
      <x:c r="D525" s="164" t="str">
        <x:v>Tier 1 - first party</x:v>
      </x:c>
      <x:c r="E525" s="164" t="str">
        <x:v>USA Tom's of Maine: Silly Strawberry Kids Anticavity Toothpaste</x:v>
      </x:c>
      <x:c r="F525" s="164" t="str">
        <x:v>SKU Library</x:v>
      </x:c>
      <x:c r="G525" s="167" t="str">
        <x:v>2026-08-31</x:v>
      </x:c>
    </x:row>
    <x:row r="526" ht="18" customHeight="1">
      <x:c r="A526" s="163" t="str">
        <x:v>SRC-0525</x:v>
      </x:c>
      <x:c r="B526" s="164" t="str">
        <x:v>https://www.tomsofmaine.com/products/silly-strawberry-kids-fluoride-free-toothpaste</x:v>
      </x:c>
      <x:c r="C526" s="164" t="str">
        <x:v>Official product page</x:v>
      </x:c>
      <x:c r="D526" s="164" t="str">
        <x:v>Tier 1 - first party</x:v>
      </x:c>
      <x:c r="E526" s="164" t="str">
        <x:v>USA Tom's of Maine: Silly Strawberry Kids Fluoride-Free Natural Toothpaste – Tom's of Maine</x:v>
      </x:c>
      <x:c r="F526" s="164" t="str">
        <x:v>SKU Library</x:v>
      </x:c>
      <x:c r="G526" s="167" t="str">
        <x:v>2026-08-31</x:v>
      </x:c>
    </x:row>
    <x:row r="527" ht="18" customHeight="1">
      <x:c r="A527" s="163" t="str">
        <x:v>SRC-0526</x:v>
      </x:c>
      <x:c r="B527" s="164" t="str">
        <x:v>https://www.tomsofmaine.com/products/soft-naturally-clean-toothbrush-twin-pack</x:v>
      </x:c>
      <x:c r="C527" s="164" t="str">
        <x:v>Official product page</x:v>
      </x:c>
      <x:c r="D527" s="164" t="str">
        <x:v>Tier 1 - first party</x:v>
      </x:c>
      <x:c r="E527" s="164" t="str">
        <x:v>USA Tom's of Maine: Naturally Clean Soft-Bristle Toothbrushes Twin Pack - Tom's of Maine</x:v>
      </x:c>
      <x:c r="F527" s="164" t="str">
        <x:v>SKU Library</x:v>
      </x:c>
      <x:c r="G527" s="167" t="str">
        <x:v>2026-08-31</x:v>
      </x:c>
    </x:row>
    <x:row r="528" ht="18" customHeight="1">
      <x:c r="A528" s="163" t="str">
        <x:v>SRC-0527</x:v>
      </x:c>
      <x:c r="B528" s="164" t="str">
        <x:v>https://www.tomsofmaine.com/products/soft-whole-care-toothbrush</x:v>
      </x:c>
      <x:c r="C528" s="164" t="str">
        <x:v>Official product page</x:v>
      </x:c>
      <x:c r="D528" s="164" t="str">
        <x:v>Tier 1 - first party</x:v>
      </x:c>
      <x:c r="E528" s="164" t="str">
        <x:v>USA Tom's of Maine: Adult Manual Whole Care® Toothbrush - Tom's of Maine</x:v>
      </x:c>
      <x:c r="F528" s="164" t="str">
        <x:v>SKU Library</x:v>
      </x:c>
      <x:c r="G528" s="167" t="str">
        <x:v>2026-08-31</x:v>
      </x:c>
    </x:row>
    <x:row r="529" ht="18" customHeight="1">
      <x:c r="A529" s="163" t="str">
        <x:v>SRC-0528</x:v>
      </x:c>
      <x:c r="B529" s="164" t="str">
        <x:v>https://www.tomsofmaine.com/products/tropical-island-aluminum-free-deodorant</x:v>
      </x:c>
      <x:c r="C529" s="164" t="str">
        <x:v>Official product page</x:v>
      </x:c>
      <x:c r="D529" s="164" t="str">
        <x:v>Tier 1 - first party</x:v>
      </x:c>
      <x:c r="E529" s="164" t="str">
        <x:v>USA Tom's of Maine: Tropical Island Deodorant - Tom's of Maine</x:v>
      </x:c>
      <x:c r="F529" s="164" t="str">
        <x:v>SKU Library</x:v>
      </x:c>
      <x:c r="G529" s="167" t="str">
        <x:v>2026-08-31</x:v>
      </x:c>
    </x:row>
    <x:row r="530" ht="18" customHeight="1">
      <x:c r="A530" s="163" t="str">
        <x:v>SRC-0529</x:v>
      </x:c>
      <x:c r="B530" s="164" t="str">
        <x:v>https://www.tomsofmaine.com/products/twilight-breeze-aluminum-free-deodorant</x:v>
      </x:c>
      <x:c r="C530" s="164" t="str">
        <x:v>Official product page</x:v>
      </x:c>
      <x:c r="D530" s="164" t="str">
        <x:v>Tier 1 - first party</x:v>
      </x:c>
      <x:c r="E530" s="164" t="str">
        <x:v>USA Tom's of Maine: Twilight Breeze Deodorant - Tom's of Maine</x:v>
      </x:c>
      <x:c r="F530" s="164" t="str">
        <x:v>SKU Library</x:v>
      </x:c>
      <x:c r="G530" s="167" t="str">
        <x:v>2026-08-31</x:v>
      </x:c>
    </x:row>
    <x:row r="531" ht="18" customHeight="1">
      <x:c r="A531" s="163" t="str">
        <x:v>SRC-0530</x:v>
      </x:c>
      <x:c r="B531" s="164" t="str">
        <x:v>https://www.tomsofmaine.com/products/unscented-deodorant</x:v>
      </x:c>
      <x:c r="C531" s="164" t="str">
        <x:v>Official product page</x:v>
      </x:c>
      <x:c r="D531" s="164" t="str">
        <x:v>Tier 1 - first party</x:v>
      </x:c>
      <x:c r="E531" s="164" t="str">
        <x:v>USA Tom's of Maine: Unscented Aluminum Free Deodorant – Tom's of Maine</x:v>
      </x:c>
      <x:c r="F531" s="164" t="str">
        <x:v>SKU Library</x:v>
      </x:c>
      <x:c r="G531" s="167" t="str">
        <x:v>2026-08-31</x:v>
      </x:c>
    </x:row>
    <x:row r="532" ht="18" customHeight="1">
      <x:c r="A532" s="163" t="str">
        <x:v>SRC-0531</x:v>
      </x:c>
      <x:c r="B532" s="164" t="str">
        <x:v>https://www.tomsofmaine.com/products/watermelon-wiggle-kids-toothpaste-with-fluoride</x:v>
      </x:c>
      <x:c r="C532" s="164" t="str">
        <x:v>Official product page</x:v>
      </x:c>
      <x:c r="D532" s="164" t="str">
        <x:v>Tier 1 - first party</x:v>
      </x:c>
      <x:c r="E532" s="164" t="str">
        <x:v>USA Tom's of Maine: Watermelon Wiggle Kids Toothpaste with Fluoride - Tom's of Maine</x:v>
      </x:c>
      <x:c r="F532" s="164" t="str">
        <x:v>SKU Library</x:v>
      </x:c>
      <x:c r="G532" s="167" t="str">
        <x:v>2026-08-31</x:v>
      </x:c>
    </x:row>
    <x:row r="533" ht="18" customHeight="1">
      <x:c r="A533" s="163" t="str">
        <x:v>SRC-0532</x:v>
      </x:c>
      <x:c r="B533" s="164" t="str">
        <x:v>https://www.tomsofmaine.com/products/whiten-plus-coconut-oil-fluoride-free-toothpaste-gentle-mint</x:v>
      </x:c>
      <x:c r="C533" s="164" t="str">
        <x:v>Official product page</x:v>
      </x:c>
      <x:c r="D533" s="164" t="str">
        <x:v>Tier 1 - first party</x:v>
      </x:c>
      <x:c r="E533" s="164" t="str">
        <x:v>USA Tom's of Maine: Whiten Plus Coconut Oil Fluoride Free Toothpaste, Gentle Mint - Tom's of Maine</x:v>
      </x:c>
      <x:c r="F533" s="164" t="str">
        <x:v>SKU Library</x:v>
      </x:c>
      <x:c r="G533" s="167" t="str">
        <x:v>2026-08-31</x:v>
      </x:c>
    </x:row>
    <x:row r="534" ht="18" customHeight="1">
      <x:c r="A534" s="163" t="str">
        <x:v>SRC-0533</x:v>
      </x:c>
      <x:c r="B534" s="164" t="str">
        <x:v>https://www.tomsofmaine.com/products/whiten-plus-deep-clean-whitening-toothpaste-peppermint</x:v>
      </x:c>
      <x:c r="C534" s="164" t="str">
        <x:v>Official product page</x:v>
      </x:c>
      <x:c r="D534" s="164" t="str">
        <x:v>Tier 1 - first party</x:v>
      </x:c>
      <x:c r="E534" s="164" t="str">
        <x:v>USA Tom's of Maine: Whiten Plus Deep Clean Whitening Toothpaste, Peppermint - Tom's of Maine</x:v>
      </x:c>
      <x:c r="F534" s="164" t="str">
        <x:v>SKU Library</x:v>
      </x:c>
      <x:c r="G534" s="167" t="str">
        <x:v>2026-08-31</x:v>
      </x:c>
    </x:row>
    <x:row r="535" ht="18" customHeight="1">
      <x:c r="A535" s="163" t="str">
        <x:v>SRC-0534</x:v>
      </x:c>
      <x:c r="B535" s="164" t="str">
        <x:v>https://www.tomsofmaine.com/products/whole-care-natural-cinnamon-clove-toothpaste-with-fluoride</x:v>
      </x:c>
      <x:c r="C535" s="164" t="str">
        <x:v>Official product page</x:v>
      </x:c>
      <x:c r="D535" s="164" t="str">
        <x:v>Tier 1 - first party</x:v>
      </x:c>
      <x:c r="E535" s="164" t="str">
        <x:v>USA Tom's of Maine: Whole Care Cinnamon Clove Anticavity Toothpaste - Tom's of Maine</x:v>
      </x:c>
      <x:c r="F535" s="164" t="str">
        <x:v>SKU Library</x:v>
      </x:c>
      <x:c r="G535" s="167" t="str">
        <x:v>2026-08-31</x:v>
      </x:c>
    </x:row>
    <x:row r="536" ht="18" customHeight="1">
      <x:c r="A536" s="163" t="str">
        <x:v>SRC-0535</x:v>
      </x:c>
      <x:c r="B536" s="164" t="str">
        <x:v>https://www.tomsofmaine.com/products/whole-care-natural-peppermint-toothpaste-with-fluoride</x:v>
      </x:c>
      <x:c r="C536" s="164" t="str">
        <x:v>Official product page</x:v>
      </x:c>
      <x:c r="D536" s="164" t="str">
        <x:v>Tier 1 - first party</x:v>
      </x:c>
      <x:c r="E536" s="164" t="str">
        <x:v>USA Tom's of Maine: Whole Care Peppermint Anticavity Toothpaste - Tom's of Maine</x:v>
      </x:c>
      <x:c r="F536" s="164" t="str">
        <x:v>SKU Library</x:v>
      </x:c>
      <x:c r="G536" s="167" t="str">
        <x:v>2026-08-31</x:v>
      </x:c>
    </x:row>
    <x:row r="537" ht="18" customHeight="1">
      <x:c r="A537" s="163" t="str">
        <x:v>SRC-0536</x:v>
      </x:c>
      <x:c r="B537" s="164" t="str">
        <x:v>https://www.tomsofmaine.com/products/whole-care-natural-spearmint-toothpaste-with-fluoride</x:v>
      </x:c>
      <x:c r="C537" s="164" t="str">
        <x:v>Official product page</x:v>
      </x:c>
      <x:c r="D537" s="164" t="str">
        <x:v>Tier 1 - first party</x:v>
      </x:c>
      <x:c r="E537" s="164" t="str">
        <x:v>USA Tom's of Maine: Whole Care Spearmint Anticavity Toothpaste</x:v>
      </x:c>
      <x:c r="F537" s="164" t="str">
        <x:v>SKU Library</x:v>
      </x:c>
      <x:c r="G537" s="167" t="str">
        <x:v>2026-08-31</x:v>
      </x:c>
    </x:row>
    <x:row r="538" ht="18" customHeight="1">
      <x:c r="A538" s="163" t="str">
        <x:v>SRC-0537</x:v>
      </x:c>
      <x:c r="B538" s="164" t="str">
        <x:v>https://www.tomsofmaine.com/products/whole-care-natural-wintermint-toothpaste-with-fluoride</x:v>
      </x:c>
      <x:c r="C538" s="164" t="str">
        <x:v>Official product page</x:v>
      </x:c>
      <x:c r="D538" s="164" t="str">
        <x:v>Tier 1 - first party</x:v>
      </x:c>
      <x:c r="E538" s="164" t="str">
        <x:v>USA Tom's of Maine: Whole Care Wintermint Anticavity Toothpaste - Tom's of Maine</x:v>
      </x:c>
      <x:c r="F538" s="164" t="str">
        <x:v>SKU Library</x:v>
      </x:c>
      <x:c r="G538" s="167" t="str">
        <x:v>2026-08-31</x:v>
      </x:c>
    </x:row>
    <x:row r="539" ht="18" customHeight="1">
      <x:c r="A539" s="163" t="str">
        <x:v>SRC-0538</x:v>
      </x:c>
      <x:c r="B539" s="164" t="str">
        <x:v>https://www.tomsofmaine.com/products/whole-care-peppermint-natural-toothpaste-with-fluoride-2-pack-new-sku</x:v>
      </x:c>
      <x:c r="C539" s="164" t="str">
        <x:v>Official product page</x:v>
      </x:c>
      <x:c r="D539" s="164" t="str">
        <x:v>Tier 1 - first party</x:v>
      </x:c>
      <x:c r="E539" s="164" t="str">
        <x:v>USA Tom's of Maine: Whole Care Peppermint Anticavity Toothpaste (2-pack) - Tom's of Maine</x:v>
      </x:c>
      <x:c r="F539" s="164" t="str">
        <x:v>SKU Library</x:v>
      </x:c>
      <x:c r="G539" s="167" t="str">
        <x:v>2026-08-31</x:v>
      </x:c>
    </x:row>
    <x:row r="540" ht="18" customHeight="1">
      <x:c r="A540" s="163" t="str">
        <x:v>SRC-0539</x:v>
      </x:c>
      <x:c r="B540" s="164" t="str">
        <x:v>https://www.tomsofmaine.com/products/wicked-cool-natural-mild-mint-toothpaste-for-kids-with-fluoride</x:v>
      </x:c>
      <x:c r="C540" s="164" t="str">
        <x:v>Official product page</x:v>
      </x:c>
      <x:c r="D540" s="164" t="str">
        <x:v>Tier 1 - first party</x:v>
      </x:c>
      <x:c r="E540" s="164" t="str">
        <x:v>USA Tom's of Maine: Wicked Cool! Natural Toothpaste in Mild Mint - Tom's of Maine</x:v>
      </x:c>
      <x:c r="F540" s="164" t="str">
        <x:v>SKU Library</x:v>
      </x:c>
      <x:c r="G540" s="167" t="str">
        <x:v>2026-08-31</x:v>
      </x:c>
    </x:row>
    <x:row r="541" ht="18" customHeight="1">
      <x:c r="A541" s="163" t="str">
        <x:v>SRC-0540</x:v>
      </x:c>
      <x:c r="B541" s="164" t="str">
        <x:v>https://www.tomsofmaine.com/products/wicked-fresh-cool-peppermint-fluoride-natural-toothpaste-new-sku</x:v>
      </x:c>
      <x:c r="C541" s="164" t="str">
        <x:v>Official product page</x:v>
      </x:c>
      <x:c r="D541" s="164" t="str">
        <x:v>Tier 1 - first party</x:v>
      </x:c>
      <x:c r="E541" s="164" t="str">
        <x:v>USA Tom's of Maine: Wicked Fresh! Cool Peppermint Anticavity Toothpaste - Tom's of Maine</x:v>
      </x:c>
      <x:c r="F541" s="164" t="str">
        <x:v>SKU Library</x:v>
      </x:c>
      <x:c r="G541" s="167" t="str">
        <x:v>2026-08-31</x:v>
      </x:c>
    </x:row>
    <x:row r="542" ht="18" customHeight="1">
      <x:c r="A542" s="163" t="str">
        <x:v>SRC-0541</x:v>
      </x:c>
      <x:c r="B542" s="164" t="str">
        <x:v>https://www.tomsofmaine.com/products/wicked-fresh-spearmint-ice-natural-fluoride-toothpaste</x:v>
      </x:c>
      <x:c r="C542" s="164" t="str">
        <x:v>Official product page</x:v>
      </x:c>
      <x:c r="D542" s="164" t="str">
        <x:v>Tier 1 - first party</x:v>
      </x:c>
      <x:c r="E542" s="164" t="str">
        <x:v>USA Tom's of Maine: Wicked Fresh! Spearmint Ice Anticavity Toothpaste - Tom's of Maine</x:v>
      </x:c>
      <x:c r="F542" s="164" t="str">
        <x:v>SKU Library</x:v>
      </x:c>
      <x:c r="G542" s="167" t="str">
        <x:v>2026-08-31</x:v>
      </x:c>
    </x:row>
    <x:row r="543" ht="18" customHeight="1">
      <x:c r="A543" s="163" t="str">
        <x:v>SRC-0542</x:v>
      </x:c>
      <x:c r="B543" s="164" t="str">
        <x:v>https://www.walmart.ca/en/c/brand/irish-spring</x:v>
      </x:c>
      <x:c r="C543" s="164" t="str">
        <x:v>Availability evidence</x:v>
      </x:c>
      <x:c r="D543" s="164" t="str">
        <x:v>Tier 2</x:v>
      </x:c>
      <x:c r="E543" s="164" t="str">
        <x:v>Market presence</x:v>
      </x:c>
      <x:c r="F543" s="164" t="str">
        <x:v>Brand Repository: CA Irish Spring; SKU Library</x:v>
      </x:c>
      <x:c r="G543" s="167" t="str">
        <x:v>2026-08-31</x:v>
      </x:c>
    </x:row>
    <x:row r="544" ht="18" customHeight="1">
      <x:c r="A544" s="163" t="str">
        <x:v>SRC-0543</x:v>
      </x:c>
      <x:c r="B544" s="164" t="str">
        <x:v>https://www.walmart.ca/en/ip/Colgate-Cavity-Protection-Regular-Fluoride-Toothpaste-6-oz/43UGCKBN3ZNP</x:v>
      </x:c>
      <x:c r="C544" s="164" t="str">
        <x:v>Availability evidence</x:v>
      </x:c>
      <x:c r="D544" s="164" t="str">
        <x:v>Tier 1</x:v>
      </x:c>
      <x:c r="E544" s="164" t="str">
        <x:v>Market presence</x:v>
      </x:c>
      <x:c r="F544" s="164" t="str">
        <x:v>Brand Repository: CA Colgate; SKU Library</x:v>
      </x:c>
      <x:c r="G544" s="167" t="str">
        <x:v>2026-08-31</x:v>
      </x:c>
    </x:row>
    <x:row r="545" ht="18" customHeight="1">
      <x:c r="A545" s="163" t="str">
        <x:v>SRC-0544</x:v>
      </x:c>
      <x:c r="B545" s="164" t="str">
        <x:v>https://www.walmart.ca/en/ip/Colgate-Extra-Clean-Toothbrush-Value-Pack-Soft-6-count/6000197412912</x:v>
      </x:c>
      <x:c r="C545" s="164" t="str">
        <x:v>Current retailer product page</x:v>
      </x:c>
      <x:c r="D545" s="164" t="str">
        <x:v>Tier 2 - retailer</x:v>
      </x:c>
      <x:c r="E545" s="164" t="str">
        <x:v>CA Colgate: Colgate Extra Clean Toothbrush Value Pack, Soft 6 count</x:v>
      </x:c>
      <x:c r="F545" s="164" t="str">
        <x:v>SKU Library</x:v>
      </x:c>
      <x:c r="G545" s="167" t="str">
        <x:v>2026-08-31</x:v>
      </x:c>
    </x:row>
    <x:row r="546" ht="18" customHeight="1">
      <x:c r="A546" s="163" t="str">
        <x:v>SRC-0545</x:v>
      </x:c>
      <x:c r="B546" s="164" t="str">
        <x:v>https://www.walmart.ca/en/ip/colgate-optic-white-advanced-teeth-whitening-toothpaste-sparkling-white-133-ml/6000200423131</x:v>
      </x:c>
      <x:c r="C546" s="164" t="str">
        <x:v>Current retailer product page</x:v>
      </x:c>
      <x:c r="D546" s="164" t="str">
        <x:v>Tier 2 - retailer</x:v>
      </x:c>
      <x:c r="E546" s="164" t="str">
        <x:v>CA Colgate: Colgate Optic White Advanced Teeth Whitening Toothpaste, Sparkling White – 133 mL, 133 mL</x:v>
      </x:c>
      <x:c r="F546" s="164" t="str">
        <x:v>SKU Library</x:v>
      </x:c>
      <x:c r="G546" s="167" t="str">
        <x:v>2026-08-31</x:v>
      </x:c>
    </x:row>
    <x:row r="547" ht="18" customHeight="1">
      <x:c r="A547" s="163" t="str">
        <x:v>SRC-0546</x:v>
      </x:c>
      <x:c r="B547" s="164" t="str">
        <x:v>https://www.walmart.ca/en/ip/colgate-prevident-dry-mouth-toothpaste-100ml/6000206630127</x:v>
      </x:c>
      <x:c r="C547" s="164" t="str">
        <x:v>Current retailer product page</x:v>
      </x:c>
      <x:c r="D547" s="164" t="str">
        <x:v>Tier 2 - retailer</x:v>
      </x:c>
      <x:c r="E547" s="164" t="str">
        <x:v>CA Colgate: Colgate PreviDent Dry Mouth Toothpaste, 100mL, Our most advanced Dry Mouth toothpaste, Colgate Prevident Dry Mouth has an enhanced fluoride delivery system and delivers better remineralization to prevent root caries. Prevident is the ideal fluoride therapy for patients with high caries risk, orthodontic decalcification and crown &amp; bridge work.</x:v>
      </x:c>
      <x:c r="F547" s="164" t="str">
        <x:v>SKU Library</x:v>
      </x:c>
      <x:c r="G547" s="167" t="str">
        <x:v>2026-08-31</x:v>
      </x:c>
    </x:row>
    <x:row r="548" ht="18" customHeight="1">
      <x:c r="A548" s="163" t="str">
        <x:v>SRC-0547</x:v>
      </x:c>
      <x:c r="B548" s="164" t="str">
        <x:v>https://www.walmart.ca/en/ip/colgate-prevident-sensitive-toothpaste-100-ml/3L7VVG2STOR5</x:v>
      </x:c>
      <x:c r="C548" s="164" t="str">
        <x:v>Current retailer product page</x:v>
      </x:c>
      <x:c r="D548" s="164" t="str">
        <x:v>Tier 2 - retailer</x:v>
      </x:c>
      <x:c r="E548" s="164" t="str">
        <x:v>CA Colgate: Colgate PreviDent Sensitive Toothpaste, 100 mL, 100 mL</x:v>
      </x:c>
      <x:c r="F548" s="164" t="str">
        <x:v>SKU Library</x:v>
      </x:c>
      <x:c r="G548" s="167" t="str">
        <x:v>2026-08-31</x:v>
      </x:c>
    </x:row>
    <x:row r="549" ht="18" customHeight="1">
      <x:c r="A549" s="163" t="str">
        <x:v>SRC-0548</x:v>
      </x:c>
      <x:c r="B549" s="164" t="str">
        <x:v>https://www.walmart.ca/en/ip/fleecy-liquid-fabric-softener-aroma-therapy-calm-fabric-conditioner/6000202027280</x:v>
      </x:c>
      <x:c r="C549" s="164" t="str">
        <x:v>Availability evidence</x:v>
      </x:c>
      <x:c r="D549" s="164" t="str">
        <x:v>Tier 2</x:v>
      </x:c>
      <x:c r="E549" s="164" t="str">
        <x:v>Market presence</x:v>
      </x:c>
      <x:c r="F549" s="164" t="str">
        <x:v>Brand Repository: CA Fleecy; SKU Library</x:v>
      </x:c>
      <x:c r="G549" s="167" t="str">
        <x:v>2026-08-31</x:v>
      </x:c>
    </x:row>
    <x:row r="550" ht="18" customHeight="1">
      <x:c r="A550" s="163" t="str">
        <x:v>SRC-0549</x:v>
      </x:c>
      <x:c r="B550" s="164" t="str">
        <x:v>https://www.walmart.ca/en/ip/hello-Dragon-Dazzle-Kids-Toothpaste-with-Fluoride-Blue-Raspberry-119-g/6000208907207</x:v>
      </x:c>
      <x:c r="C550" s="164" t="str">
        <x:v>Availability evidence</x:v>
      </x:c>
      <x:c r="D550" s="164" t="str">
        <x:v>Tier 2</x:v>
      </x:c>
      <x:c r="E550" s="164" t="str">
        <x:v>Market presence</x:v>
      </x:c>
      <x:c r="F550" s="164" t="str">
        <x:v>Brand Repository: CA hello; SKU Library</x:v>
      </x:c>
      <x:c r="G550" s="167" t="str">
        <x:v>2026-08-31</x:v>
      </x:c>
    </x:row>
    <x:row r="551" ht="18" customHeight="1">
      <x:c r="A551" s="163" t="str">
        <x:v>SRC-0550</x:v>
      </x:c>
      <x:c r="B551" s="164" t="str">
        <x:v>https://www.walmart.ca/en/ip/hello-watermelon-all-ages-kids-fluoride-free-toothpaste-88-ml/6000202106933</x:v>
      </x:c>
      <x:c r="C551" s="164" t="str">
        <x:v>Current retailer product page</x:v>
      </x:c>
      <x:c r="D551" s="164" t="str">
        <x:v>Tier 2 - retailer</x:v>
      </x:c>
      <x:c r="E551" s="164" t="str">
        <x:v>CA hello: Hello Watermelon All Ages Kids Fluoride Free Toothpaste - 88 mL, Hello Watermelon Kids Toothpaste</x:v>
      </x:c>
      <x:c r="F551" s="164" t="str">
        <x:v>SKU Library</x:v>
      </x:c>
      <x:c r="G551" s="167" t="str">
        <x:v>2026-08-31</x:v>
      </x:c>
    </x:row>
    <x:row r="552" ht="18" customHeight="1">
      <x:c r="A552" s="163" t="str">
        <x:v>SRC-0551</x:v>
      </x:c>
      <x:c r="B552" s="164" t="str">
        <x:v>https://www.walmart.ca/en/ip/irish-spring-aloe-deodorant-bar-soap/10035655</x:v>
      </x:c>
      <x:c r="C552" s="164" t="str">
        <x:v>Current retailer product page</x:v>
      </x:c>
      <x:c r="D552" s="164" t="str">
        <x:v>Tier 2 - retailer</x:v>
      </x:c>
      <x:c r="E552" s="164" t="str">
        <x:v>CA Irish Spring: Irish Spring Aloe Deodorant Bar Soap</x:v>
      </x:c>
      <x:c r="F552" s="164" t="str">
        <x:v>SKU Library</x:v>
      </x:c>
      <x:c r="G552" s="167" t="str">
        <x:v>2026-08-31</x:v>
      </x:c>
    </x:row>
    <x:row r="553" ht="18" customHeight="1">
      <x:c r="A553" s="163" t="str">
        <x:v>SRC-0552</x:v>
      </x:c>
      <x:c r="B553" s="164" t="str">
        <x:v>https://www.walmart.ca/en/ip/irish-spring-aloe-mist-deodorant-bar-soap-for-men-1047-g-6-pack/28AJWS0RO7S6</x:v>
      </x:c>
      <x:c r="C553" s="164" t="str">
        <x:v>Current retailer product page</x:v>
      </x:c>
      <x:c r="D553" s="164" t="str">
        <x:v>Tier 2 - retailer</x:v>
      </x:c>
      <x:c r="E553" s="164" t="str">
        <x:v>CA Irish Spring: Irish Spring Aloe Mist Deodorant Bar Soap for Men, 104.7 g, 6 Pack, 6 Pack</x:v>
      </x:c>
      <x:c r="F553" s="164" t="str">
        <x:v>SKU Library</x:v>
      </x:c>
      <x:c r="G553" s="167" t="str">
        <x:v>2026-08-31</x:v>
      </x:c>
    </x:row>
    <x:row r="554" ht="18" customHeight="1">
      <x:c r="A554" s="163" t="str">
        <x:v>SRC-0553</x:v>
      </x:c>
      <x:c r="B554" s="164" t="str">
        <x:v>https://www.walmart.ca/en/ip/Irish-Spring-Bar-Soap-Original-Clean-4-oz-20-ct/260VXNLI905E</x:v>
      </x:c>
      <x:c r="C554" s="164" t="str">
        <x:v>Current retailer product page</x:v>
      </x:c>
      <x:c r="D554" s="164" t="str">
        <x:v>Tier 2 - retailer</x:v>
      </x:c>
      <x:c r="E554" s="164" t="str">
        <x:v>CA Irish Spring: Irish Spring Bar Soap, Original Clean (4 oz., 20 ct.)</x:v>
      </x:c>
      <x:c r="F554" s="164" t="str">
        <x:v>SKU Library</x:v>
      </x:c>
      <x:c r="G554" s="167" t="str">
        <x:v>2026-08-31</x:v>
      </x:c>
    </x:row>
    <x:row r="555" ht="18" customHeight="1">
      <x:c r="A555" s="163" t="str">
        <x:v>SRC-0554</x:v>
      </x:c>
      <x:c r="B555" s="164" t="str">
        <x:v>https://www.walmart.ca/en/ip/Irish-Spring-Deodorant-Soap-With-Aloe-3-In-1-Pack-318g-Approx-Pack-of-3/6NM1MD53IV9J</x:v>
      </x:c>
      <x:c r="C555" s="164" t="str">
        <x:v>Current retailer product page</x:v>
      </x:c>
      <x:c r="D555" s="164" t="str">
        <x:v>Tier 2 - retailer</x:v>
      </x:c>
      <x:c r="E555" s="164" t="str">
        <x:v>CA Irish Spring: Irish Spring Deodorant Soap With Aloe 3 In 1 Pack(318g Approx.) (Pack of 3)</x:v>
      </x:c>
      <x:c r="F555" s="164" t="str">
        <x:v>SKU Library</x:v>
      </x:c>
      <x:c r="G555" s="167" t="str">
        <x:v>2026-08-31</x:v>
      </x:c>
    </x:row>
    <x:row r="556" ht="18" customHeight="1">
      <x:c r="A556" s="163" t="str">
        <x:v>SRC-0555</x:v>
      </x:c>
      <x:c r="B556" s="164" t="str">
        <x:v>https://www.walmart.ca/en/ip/irish-spring-icy-blast-deodorant-bar-soap-for-men-1048-g-6-pack/7FZNVJBDYVDX</x:v>
      </x:c>
      <x:c r="C556" s="164" t="str">
        <x:v>Current retailer product page</x:v>
      </x:c>
      <x:c r="D556" s="164" t="str">
        <x:v>Tier 2 - retailer</x:v>
      </x:c>
      <x:c r="E556" s="164" t="str">
        <x:v>CA Irish Spring: Irish Spring Icy Blast Deodorant Bar Soap for Men, 104.8 g, 6 Pack, 6 Pack</x:v>
      </x:c>
      <x:c r="F556" s="164" t="str">
        <x:v>SKU Library</x:v>
      </x:c>
      <x:c r="G556" s="167" t="str">
        <x:v>2026-08-31</x:v>
      </x:c>
    </x:row>
    <x:row r="557" ht="18" customHeight="1">
      <x:c r="A557" s="163" t="str">
        <x:v>SRC-0556</x:v>
      </x:c>
      <x:c r="B557" s="164" t="str">
        <x:v>https://www.walmart.ca/en/ip/Irish-Spring-Original-Deodorant-Bar-Soap-2x90g-Pack-of-3/5RDPFK1QNC7M</x:v>
      </x:c>
      <x:c r="C557" s="164" t="str">
        <x:v>Current retailer product page</x:v>
      </x:c>
      <x:c r="D557" s="164" t="str">
        <x:v>Tier 2 - retailer</x:v>
      </x:c>
      <x:c r="E557" s="164" t="str">
        <x:v>CA Irish Spring: Irish Spring Original Deodorant Bar Soap, 2x90g (Pack of 3)</x:v>
      </x:c>
      <x:c r="F557" s="164" t="str">
        <x:v>SKU Library</x:v>
      </x:c>
      <x:c r="G557" s="167" t="str">
        <x:v>2026-08-31</x:v>
      </x:c>
    </x:row>
    <x:row r="558" ht="18" customHeight="1">
      <x:c r="A558" s="163" t="str">
        <x:v>SRC-0557</x:v>
      </x:c>
      <x:c r="B558" s="164" t="str">
        <x:v>https://www.walmart.ca/en/ip/lady-speed-stick-invisible-antiperspirantdeodorant-purple/10031884</x:v>
      </x:c>
      <x:c r="C558" s="164" t="str">
        <x:v>Availability evidence</x:v>
      </x:c>
      <x:c r="D558" s="164" t="str">
        <x:v>Tier 1</x:v>
      </x:c>
      <x:c r="E558" s="164" t="str">
        <x:v>Market presence</x:v>
      </x:c>
      <x:c r="F558" s="164" t="str">
        <x:v>Brand Repository: CA Lady Speed Stick; SKU Library</x:v>
      </x:c>
      <x:c r="G558" s="167" t="str">
        <x:v>2026-08-31</x:v>
      </x:c>
    </x:row>
    <x:row r="559" ht="18" customHeight="1">
      <x:c r="A559" s="163" t="str">
        <x:v>SRC-0558</x:v>
      </x:c>
      <x:c r="B559" s="164" t="str">
        <x:v>https://www.walmart.ca/en/ip/Murphy-Oil-Soap-Cleaning-Spray-Wood-Cleaner-No-Rinse-Floor-Cleaner-Orange-Scent-650-mL-Bottle/6000198075545</x:v>
      </x:c>
      <x:c r="C559" s="164" t="str">
        <x:v>Availability evidence</x:v>
      </x:c>
      <x:c r="D559" s="164" t="str">
        <x:v>Tier 2</x:v>
      </x:c>
      <x:c r="E559" s="164" t="str">
        <x:v>Market presence</x:v>
      </x:c>
      <x:c r="F559" s="164" t="str">
        <x:v>Brand Repository: CA Murphy Oil Soap; SKU Library</x:v>
      </x:c>
      <x:c r="G559" s="167" t="str">
        <x:v>2026-08-31</x:v>
      </x:c>
    </x:row>
    <x:row r="560" ht="18" customHeight="1">
      <x:c r="A560" s="163" t="str">
        <x:v>SRC-0559</x:v>
      </x:c>
      <x:c r="B560" s="164" t="str">
        <x:v>https://www.walmart.ca/en/ip/Softsoap-Liquid-Hand-Soap-Soothing-Aloe-Vera/6000199167909</x:v>
      </x:c>
      <x:c r="C560" s="164" t="str">
        <x:v>Availability evidence</x:v>
      </x:c>
      <x:c r="D560" s="164" t="str">
        <x:v>Tier 2</x:v>
      </x:c>
      <x:c r="E560" s="164" t="str">
        <x:v>Market presence</x:v>
      </x:c>
      <x:c r="F560" s="164" t="str">
        <x:v>Brand Repository: CA Softsoap; SKU Library</x:v>
      </x:c>
      <x:c r="G560" s="167" t="str">
        <x:v>2026-08-31</x:v>
      </x:c>
    </x:row>
    <x:row r="561" ht="18" customHeight="1">
      <x:c r="A561" s="163" t="str">
        <x:v>SRC-0560</x:v>
      </x:c>
      <x:c r="B561" s="164" t="str">
        <x:v>https://www.walmart.ca/en/ip/Softsoap-Moisturizing-Body-Wash-Luminous-Oils-Macadamia-Oil-Peony-591-mL/6000200648798</x:v>
      </x:c>
      <x:c r="C561" s="164" t="str">
        <x:v>Current retailer product page</x:v>
      </x:c>
      <x:c r="D561" s="164" t="str">
        <x:v>Tier 2 - retailer</x:v>
      </x:c>
      <x:c r="E561" s="164" t="str">
        <x:v>CA Softsoap: Softsoap Moisturizing Body Wash, Luminous Oils Macadamia Oil &amp; Peony, 591 mL</x:v>
      </x:c>
      <x:c r="F561" s="164" t="str">
        <x:v>SKU Library</x:v>
      </x:c>
      <x:c r="G561" s="167" t="str">
        <x:v>2026-08-31</x:v>
      </x:c>
    </x:row>
    <x:row r="562" ht="18" customHeight="1">
      <x:c r="A562" s="163" t="str">
        <x:v>SRC-0561</x:v>
      </x:c>
      <x:c r="B562" s="164" t="str">
        <x:v>https://www.walmart.ca/en/ip/Suavitel-Field-Flowers-Advanced-Liquid-Fabric-Softener-165-oz/727N8N9KXJUO</x:v>
      </x:c>
      <x:c r="C562" s="164" t="str">
        <x:v>Availability evidence</x:v>
      </x:c>
      <x:c r="D562" s="164" t="str">
        <x:v>Tier 2</x:v>
      </x:c>
      <x:c r="E562" s="164" t="str">
        <x:v>Market presence</x:v>
      </x:c>
      <x:c r="F562" s="164" t="str">
        <x:v>Brand Repository: CA Suavitel; SKU Library</x:v>
      </x:c>
      <x:c r="G562" s="167" t="str">
        <x:v>2026-08-31</x:v>
      </x:c>
    </x:row>
    <x:row r="563" ht="18" customHeight="1">
      <x:c r="A563" s="163" t="str">
        <x:v>SRC-0562</x:v>
      </x:c>
      <x:c r="B563" s="164" t="str">
        <x:v>https://www.walmart.ca/en/ip/Tom-s-of-Maine-Natural-Whole-Care-Anticavity-Toothpaste-with-Fluoride-Cinnamon-Clove-4-oz/1G60ZAD83N8Z</x:v>
      </x:c>
      <x:c r="C563" s="164" t="str">
        <x:v>Availability evidence</x:v>
      </x:c>
      <x:c r="D563" s="164" t="str">
        <x:v>Tier 2</x:v>
      </x:c>
      <x:c r="E563" s="164" t="str">
        <x:v>Market presence</x:v>
      </x:c>
      <x:c r="F563" s="164" t="str">
        <x:v>Brand Repository: CA Tom's of Maine; SKU Library</x:v>
      </x:c>
      <x:c r="G563" s="167" t="str">
        <x:v>2026-08-31</x:v>
      </x:c>
    </x:row>
    <x:row r="564" ht="18" customHeight="1">
      <x:c r="A564" s="163" t="str">
        <x:v>SRC-0563</x:v>
      </x:c>
      <x:c r="B564" s="164" t="str">
        <x:v>https://www.walmart.ca/en/ip/toms-of-maine-simply-white-peppermint-natural-whitening-toothpaste/10185696</x:v>
      </x:c>
      <x:c r="C564" s="164" t="str">
        <x:v>Current retailer product page</x:v>
      </x:c>
      <x:c r="D564" s="164" t="str">
        <x:v>Tier 2 - retailer</x:v>
      </x:c>
      <x:c r="E564" s="164" t="str">
        <x:v>CA Tom's of Maine: Tom's of Maine Simply White Peppermint Natural Whitening Toothpaste, 85 mL</x:v>
      </x:c>
      <x:c r="F564" s="164" t="str">
        <x:v>SKU Library</x:v>
      </x:c>
      <x:c r="G564" s="167" t="str">
        <x:v>2026-08-31</x:v>
      </x:c>
    </x:row>
    <x:row r="565" ht="18" customHeight="1">
      <x:c r="A565" s="163" t="str">
        <x:v>SRC-0564</x:v>
      </x:c>
      <x:c r="B565" s="164" t="str">
        <x:v>https://www.walmart.com/brand/colgate-palmolive/10015324</x:v>
      </x:c>
      <x:c r="C565" s="164" t="str">
        <x:v>Availability evidence</x:v>
      </x:c>
      <x:c r="D565" s="164" t="str">
        <x:v>Tier 1</x:v>
      </x:c>
      <x:c r="E565" s="164" t="str">
        <x:v>Market presence</x:v>
      </x:c>
      <x:c r="F565" s="164" t="str">
        <x:v>Brand Repository: USA Palmolive; SKU Library</x:v>
      </x:c>
      <x:c r="G565" s="167" t="str">
        <x:v>2026-08-31</x:v>
      </x:c>
    </x:row>
    <x:row r="566" ht="18" customHeight="1">
      <x:c r="A566" s="163" t="str">
        <x:v>SRC-0565</x:v>
      </x:c>
      <x:c r="B566" s="164" t="str">
        <x:v>https://www.walmart.com/browse/personal-care/shop-all-personal-care/speed-stick/deodorants-antiperspirants/1005862_2554774/YnJhbmQ6U3BlZWQgU3RpY2t8fGNhdGVnb3J5OkRlb2RvcmFudHMgJiiBBbnRpcGVyc3BpcmFudHMie</x:v>
      </x:c>
      <x:c r="C566" s="164" t="str">
        <x:v>Current retailer product page</x:v>
      </x:c>
      <x:c r="D566" s="164" t="str">
        <x:v>Tier 2 - retailer</x:v>
      </x:c>
      <x:c r="E566" s="164" t="str">
        <x:v>USA Speed Stick: Speed Stick Deodorants &amp; Antiperspirants Shop all ...</x:v>
      </x:c>
      <x:c r="F566" s="164" t="str">
        <x:v>SKU Library</x:v>
      </x:c>
      <x:c r="G566" s="167" t="str">
        <x:v>2026-08-31</x:v>
      </x:c>
    </x:row>
    <x:row r="567" ht="18" customHeight="1">
      <x:c r="A567" s="163" t="str">
        <x:v>SRC-0566</x:v>
      </x:c>
      <x:c r="B567" s="164" t="str">
        <x:v>https://www.walmart.com/c/kp/colgate-palmolive-softsoap</x:v>
      </x:c>
      <x:c r="C567" s="164" t="str">
        <x:v>Availability evidence</x:v>
      </x:c>
      <x:c r="D567" s="164" t="str">
        <x:v>Tier 1</x:v>
      </x:c>
      <x:c r="E567" s="164" t="str">
        <x:v>Market presence</x:v>
      </x:c>
      <x:c r="F567" s="164" t="str">
        <x:v>Brand Repository: USA Softsoap; SKU Library</x:v>
      </x:c>
      <x:c r="G567" s="167" t="str">
        <x:v>2026-08-31</x:v>
      </x:c>
    </x:row>
    <x:row r="568" ht="18" customHeight="1">
      <x:c r="A568" s="163" t="str">
        <x:v>SRC-0567</x:v>
      </x:c>
      <x:c r="B568" s="164" t="str">
        <x:v>https://www.walmart.com/c/kp/speed-stick-deodorant-irish-spring</x:v>
      </x:c>
      <x:c r="C568" s="164" t="str">
        <x:v>Current retailer product page</x:v>
      </x:c>
      <x:c r="D568" s="164" t="str">
        <x:v>Tier 2 - retailer</x:v>
      </x:c>
      <x:c r="E568" s="164" t="str">
        <x:v>USA Irish Spring: Speed Stick Deodorant Irish Spring Scents</x:v>
      </x:c>
      <x:c r="F568" s="164" t="str">
        <x:v>SKU Library</x:v>
      </x:c>
      <x:c r="G568" s="167" t="str">
        <x:v>2026-08-31</x:v>
      </x:c>
    </x:row>
    <x:row r="569" ht="18" customHeight="1">
      <x:c r="A569" s="163" t="str">
        <x:v>SRC-0568</x:v>
      </x:c>
      <x:c r="B569" s="164" t="str">
        <x:v>https://www.walmart.com/cp/hills-science-diet/4254802</x:v>
      </x:c>
      <x:c r="C569" s="164" t="str">
        <x:v>Current retailer product page</x:v>
      </x:c>
      <x:c r="D569" s="164" t="str">
        <x:v>Tier 2 - retailer</x:v>
      </x:c>
      <x:c r="E569" s="164" t="str">
        <x:v>USA Hill's Science Diet: Hills Science Diet</x:v>
      </x:c>
      <x:c r="F569" s="164" t="str">
        <x:v>SKU Library</x:v>
      </x:c>
      <x:c r="G569" s="167" t="str">
        <x:v>2026-08-31</x:v>
      </x:c>
    </x:row>
    <x:row r="570" ht="18" customHeight="1">
      <x:c r="A570" s="163" t="str">
        <x:v>SRC-0569</x:v>
      </x:c>
      <x:c r="B570" s="164" t="str">
        <x:v>https://www.walmart.com/ip/2-PACK-Speed-Stick-Antiperspirant-Deodorant-for-Men-Power-Fresh-3-0-Oz/167889538</x:v>
      </x:c>
      <x:c r="C570" s="164" t="str">
        <x:v>Current retailer product page</x:v>
      </x:c>
      <x:c r="D570" s="164" t="str">
        <x:v>Tier 2 - retailer</x:v>
      </x:c>
      <x:c r="E570" s="164" t="str">
        <x:v>USA Speed Stick: Speed Stick Antiperspirant Deodorant for Men, Power Fresh, 3.0 Oz, 2pk</x:v>
      </x:c>
      <x:c r="F570" s="164" t="str">
        <x:v>SKU Library</x:v>
      </x:c>
      <x:c r="G570" s="167" t="str">
        <x:v>2026-08-31</x:v>
      </x:c>
    </x:row>
    <x:row r="571" ht="18" customHeight="1">
      <x:c r="A571" s="163" t="str">
        <x:v>SRC-0570</x:v>
      </x:c>
      <x:c r="B571" s="164" t="str">
        <x:v>https://www.walmart.com/ip/Ajax-Classic-Max-Fragrance-Laundry-Detergent-Original-40-oz-25-Loads/330218439</x:v>
      </x:c>
      <x:c r="C571" s="164" t="str">
        <x:v>Current retailer product page</x:v>
      </x:c>
      <x:c r="D571" s="164" t="str">
        <x:v>Tier 2 - retailer</x:v>
      </x:c>
      <x:c r="E571" s="164" t="str">
        <x:v>USA Ajax: Ajax Original Liquid Laundry Detergent, 40 oz, 25 Loads, Max Fragrance for Washing Clothes</x:v>
      </x:c>
      <x:c r="F571" s="164" t="str">
        <x:v>SKU Library</x:v>
      </x:c>
      <x:c r="G571" s="167" t="str">
        <x:v>2026-08-31</x:v>
      </x:c>
    </x:row>
    <x:row r="572" ht="18" customHeight="1">
      <x:c r="A572" s="163" t="str">
        <x:v>SRC-0571</x:v>
      </x:c>
      <x:c r="B572" s="164" t="str">
        <x:v>https://www.walmart.com/ip/Ajax-Orange-Scent-Dish-Detergent-145-oz-Bottle-Case-of-4/5240674314</x:v>
      </x:c>
      <x:c r="C572" s="164" t="str">
        <x:v>Current retailer product page</x:v>
      </x:c>
      <x:c r="D572" s="164" t="str">
        <x:v>Tier 2 - retailer</x:v>
      </x:c>
      <x:c r="E572" s="164" t="str">
        <x:v>USA Ajax: Ajax Orange Scent Dish Detergent - 145 oz Bottle - Case of 4</x:v>
      </x:c>
      <x:c r="F572" s="164" t="str">
        <x:v>SKU Library</x:v>
      </x:c>
      <x:c r="G572" s="167" t="str">
        <x:v>2026-08-31</x:v>
      </x:c>
    </x:row>
    <x:row r="573" ht="18" customHeight="1">
      <x:c r="A573" s="163" t="str">
        <x:v>SRC-0572</x:v>
      </x:c>
      <x:c r="B573" s="164" t="str">
        <x:v>https://www.walmart.com/ip/AJAX-Triple-Action-Orange-Dish-Liquid-52-fl-oz-Bottles-Liquid-52-fl-oz-1-6-quart-6-Carton-Orange/409868123</x:v>
      </x:c>
      <x:c r="C573" s="164" t="str">
        <x:v>Availability evidence</x:v>
      </x:c>
      <x:c r="D573" s="164" t="str">
        <x:v>Tier 1</x:v>
      </x:c>
      <x:c r="E573" s="164" t="str">
        <x:v>Market presence</x:v>
      </x:c>
      <x:c r="F573" s="164" t="str">
        <x:v>Brand Repository: USA Ajax; SKU Library</x:v>
      </x:c>
      <x:c r="G573" s="167" t="str">
        <x:v>2026-08-31</x:v>
      </x:c>
    </x:row>
    <x:row r="574" ht="18" customHeight="1">
      <x:c r="A574" s="163" t="str">
        <x:v>SRC-0573</x:v>
      </x:c>
      <x:c r="B574" s="164" t="str">
        <x:v>https://www.walmart.com/ip/Ajax-Ultra-Liquid-Dish-Soap-Lemon-Scent-Super-Degreaser-12-4-oz-Bottle/1040091119</x:v>
      </x:c>
      <x:c r="C574" s="164" t="str">
        <x:v>Current retailer product page</x:v>
      </x:c>
      <x:c r="D574" s="164" t="str">
        <x:v>Tier 2 - retailer</x:v>
      </x:c>
      <x:c r="E574" s="164" t="str">
        <x:v>USA Ajax: Ajax Ultra Washing Dish Detergent, Lemon Scented Super Degreaser, 12.4 oz Bottle</x:v>
      </x:c>
      <x:c r="F574" s="164" t="str">
        <x:v>SKU Library</x:v>
      </x:c>
      <x:c r="G574" s="167" t="str">
        <x:v>2026-08-31</x:v>
      </x:c>
    </x:row>
    <x:row r="575" ht="18" customHeight="1">
      <x:c r="A575" s="163" t="str">
        <x:v>SRC-0574</x:v>
      </x:c>
      <x:c r="B575" s="164" t="str">
        <x:v>https://www.walmart.com/ip/Ajax-Ultra-Liquid-Dish-Soap-Lemon-Scent-Super-Degreaser-90-Fluid-Ounce/34938309</x:v>
      </x:c>
      <x:c r="C575" s="164" t="str">
        <x:v>Current retailer product page</x:v>
      </x:c>
      <x:c r="D575" s="164" t="str">
        <x:v>Tier 2 - retailer</x:v>
      </x:c>
      <x:c r="E575" s="164" t="str">
        <x:v>USA Ajax: Ajax Ultra Dish Washing Liquid Soap, Super Degreaser, Lemon Scent, 90 oz Detergent Bottle</x:v>
      </x:c>
      <x:c r="F575" s="164" t="str">
        <x:v>SKU Library</x:v>
      </x:c>
      <x:c r="G575" s="167" t="str">
        <x:v>2026-08-31</x:v>
      </x:c>
    </x:row>
    <x:row r="576" ht="18" customHeight="1">
      <x:c r="A576" s="163" t="str">
        <x:v>SRC-0575</x:v>
      </x:c>
      <x:c r="B576" s="164" t="str">
        <x:v>https://www.walmart.com/ip/Ajax-Ultra-Triple-Action-Dishwashing-Liquid-Dish-Soap-Orange-Scent-90-Fluid-Ounce/19514874</x:v>
      </x:c>
      <x:c r="C576" s="164" t="str">
        <x:v>Current retailer product page</x:v>
      </x:c>
      <x:c r="D576" s="164" t="str">
        <x:v>Tier 2 - retailer</x:v>
      </x:c>
      <x:c r="E576" s="164" t="str">
        <x:v>USA Ajax: Ajax, Ultra Liquid Dish Soap, 90 fl oz, Orange Scent</x:v>
      </x:c>
      <x:c r="F576" s="164" t="str">
        <x:v>SKU Library</x:v>
      </x:c>
      <x:c r="G576" s="167" t="str">
        <x:v>2026-08-31</x:v>
      </x:c>
    </x:row>
    <x:row r="577" ht="18" customHeight="1">
      <x:c r="A577" s="163" t="str">
        <x:v>SRC-0576</x:v>
      </x:c>
      <x:c r="B577" s="164" t="str">
        <x:v>https://www.walmart.com/ip/Ajax-Ultra-Triple-Action-Liquid-Dish-Soap-Bleach-Alternative-Grapefruit-28-fluid-ounce/43710506</x:v>
      </x:c>
      <x:c r="C577" s="164" t="str">
        <x:v>Current retailer product page</x:v>
      </x:c>
      <x:c r="D577" s="164" t="str">
        <x:v>Tier 2 - retailer</x:v>
      </x:c>
      <x:c r="E577" s="164" t="str">
        <x:v>USA Ajax: Ajax Bleach Alternative Grapefruit Dish Liquid, 28 fl oz</x:v>
      </x:c>
      <x:c r="F577" s="164" t="str">
        <x:v>SKU Library</x:v>
      </x:c>
      <x:c r="G577" s="167" t="str">
        <x:v>2026-08-31</x:v>
      </x:c>
    </x:row>
    <x:row r="578" ht="18" customHeight="1">
      <x:c r="A578" s="163" t="str">
        <x:v>SRC-0577</x:v>
      </x:c>
      <x:c r="B578" s="164" t="str">
        <x:v>https://www.walmart.com/ip/Ajax-Ultra-Triple-Action-Liquid-Dish-Soap-Lemon-12-6-fluid-ounce/43710504</x:v>
      </x:c>
      <x:c r="C578" s="164" t="str">
        <x:v>Current retailer product page</x:v>
      </x:c>
      <x:c r="D578" s="164" t="str">
        <x:v>Tier 2 - retailer</x:v>
      </x:c>
      <x:c r="E578" s="164" t="str">
        <x:v>USA Ajax: Ajax Ultra Triple Action Liquid Dish Soap, Lemon - 12.6 fluid ounce</x:v>
      </x:c>
      <x:c r="F578" s="164" t="str">
        <x:v>SKU Library</x:v>
      </x:c>
      <x:c r="G578" s="167" t="str">
        <x:v>2026-08-31</x:v>
      </x:c>
    </x:row>
    <x:row r="579" ht="18" customHeight="1">
      <x:c r="A579" s="163" t="str">
        <x:v>SRC-0578</x:v>
      </x:c>
      <x:c r="B579" s="164" t="str">
        <x:v>https://www.walmart.com/ip/Colgate-Cavity-Protection-Toothpaste-with-Fluoride-Great-Regular-Flavor-4-oz/118190372</x:v>
      </x:c>
      <x:c r="C579" s="164" t="str">
        <x:v>Current retailer product page</x:v>
      </x:c>
      <x:c r="D579" s="164" t="str">
        <x:v>Tier 2 - retailer</x:v>
      </x:c>
      <x:c r="E579" s="164" t="str">
        <x:v>USA Colgate: Colgate Cavity Protection Toothpaste, Fluoride, 4.6 Oz, ADA Accepted</x:v>
      </x:c>
      <x:c r="F579" s="164" t="str">
        <x:v>SKU Library</x:v>
      </x:c>
      <x:c r="G579" s="167" t="str">
        <x:v>2026-08-31</x:v>
      </x:c>
    </x:row>
    <x:row r="580" ht="18" customHeight="1">
      <x:c r="A580" s="163" t="str">
        <x:v>SRC-0579</x:v>
      </x:c>
      <x:c r="B580" s="164" t="str">
        <x:v>https://www.walmart.com/ip/Colgate-Extra-Clean-Flexible-Grip-Adult-Manual-Toothbrush-Medium-4-Pack/10312279</x:v>
      </x:c>
      <x:c r="C580" s="164" t="str">
        <x:v>Current retailer product page</x:v>
      </x:c>
      <x:c r="D580" s="164" t="str">
        <x:v>Tier 2 - retailer</x:v>
      </x:c>
      <x:c r="E580" s="164" t="str">
        <x:v>USA Colgate: Colgate Flexible Grip Medium Toothbrush 4 Pack with Circular Power and Cleaning Tip Bristles</x:v>
      </x:c>
      <x:c r="F580" s="164" t="str">
        <x:v>SKU Library</x:v>
      </x:c>
      <x:c r="G580" s="167" t="str">
        <x:v>2026-08-31</x:v>
      </x:c>
    </x:row>
    <x:row r="581" ht="18" customHeight="1">
      <x:c r="A581" s="163" t="str">
        <x:v>SRC-0580</x:v>
      </x:c>
      <x:c r="B581" s="164" t="str">
        <x:v>https://www.walmart.com/ip/Colgate-Extra-Clean-Full-Head-Adult-Manual-Toothbrush-Soft-4-Pack/170080721</x:v>
      </x:c>
      <x:c r="C581" s="164" t="str">
        <x:v>Current retailer product page</x:v>
      </x:c>
      <x:c r="D581" s="164" t="str">
        <x:v>Tier 2 - retailer</x:v>
      </x:c>
      <x:c r="E581" s="164" t="str">
        <x:v>USA Colgate: Colgate, Adult Manual Toothbrush, 4 Pack, Full Head Soft</x:v>
      </x:c>
      <x:c r="F581" s="164" t="str">
        <x:v>SKU Library</x:v>
      </x:c>
      <x:c r="G581" s="167" t="str">
        <x:v>2026-08-31</x:v>
      </x:c>
    </x:row>
    <x:row r="582" ht="18" customHeight="1">
      <x:c r="A582" s="163" t="str">
        <x:v>SRC-0581</x:v>
      </x:c>
      <x:c r="B582" s="164" t="str">
        <x:v>https://www.walmart.com/ip/Colgate-Extra-Clean-Full-Head-Toothbrush-Soft-1-Count/46212474</x:v>
      </x:c>
      <x:c r="C582" s="164" t="str">
        <x:v>Current retailer product page</x:v>
      </x:c>
      <x:c r="D582" s="164" t="str">
        <x:v>Tier 2 - retailer</x:v>
      </x:c>
      <x:c r="E582" s="164" t="str">
        <x:v>USA Colgate: Colgate Extra Clean Soft Toothbrush, Full Head, Adult - 1 Count, Circular Power Bristles, Easy-Grip Handle</x:v>
      </x:c>
      <x:c r="F582" s="164" t="str">
        <x:v>SKU Library</x:v>
      </x:c>
      <x:c r="G582" s="167" t="str">
        <x:v>2026-08-31</x:v>
      </x:c>
    </x:row>
    <x:row r="583" ht="18" customHeight="1">
      <x:c r="A583" s="163" t="str">
        <x:v>SRC-0582</x:v>
      </x:c>
      <x:c r="B583" s="164" t="str">
        <x:v>https://www.walmart.com/ip/Colgate-Gum-Health-Adult-Manual-Toothbrush-Ultra-Soft-2-Pack/711625694</x:v>
      </x:c>
      <x:c r="C583" s="164" t="str">
        <x:v>Current retailer product page</x:v>
      </x:c>
      <x:c r="D583" s="164" t="str">
        <x:v>Tier 2 - retailer</x:v>
      </x:c>
      <x:c r="E583" s="164" t="str">
        <x:v>USA Colgate: Colgate Ultra Soft Adult Toothbrush for Gum Health, 2 Pack</x:v>
      </x:c>
      <x:c r="F583" s="164" t="str">
        <x:v>SKU Library</x:v>
      </x:c>
      <x:c r="G583" s="167" t="str">
        <x:v>2026-08-31</x:v>
      </x:c>
    </x:row>
    <x:row r="584" ht="18" customHeight="1">
      <x:c r="A584" s="163" t="str">
        <x:v>SRC-0583</x:v>
      </x:c>
      <x:c r="B584" s="164" t="str">
        <x:v>https://www.walmart.com/ip/Colgate-Optic-White-Advanced-Teeth-Whitening-Toothpaste-2-Hydrogen-Peroxide-Toothpaste-Sparkling-White-4-5-Oz-2-Pack/708898604</x:v>
      </x:c>
      <x:c r="C584" s="164" t="str">
        <x:v>Current retailer product page</x:v>
      </x:c>
      <x:c r="D584" s="164" t="str">
        <x:v>Tier 2 - retailer</x:v>
      </x:c>
      <x:c r="E584" s="164" t="str">
        <x:v>USA Colgate: Colgate Optic White Advanced Sparkling White Toothpaste, Mint, 2 Pack, 4.5 OZ</x:v>
      </x:c>
      <x:c r="F584" s="164" t="str">
        <x:v>SKU Library</x:v>
      </x:c>
      <x:c r="G584" s="167" t="str">
        <x:v>2026-08-31</x:v>
      </x:c>
    </x:row>
    <x:row r="585" ht="18" customHeight="1">
      <x:c r="A585" s="163" t="str">
        <x:v>SRC-0584</x:v>
      </x:c>
      <x:c r="B585" s="164" t="str">
        <x:v>https://www.walmart.com/ip/Colgate-Optic-White-Pro-Series-Adult-Manual-Toothbrush-Soft-2-Pack/741030755</x:v>
      </x:c>
      <x:c r="C585" s="164" t="str">
        <x:v>Current retailer product page</x:v>
      </x:c>
      <x:c r="D585" s="164" t="str">
        <x:v>Tier 2 - retailer</x:v>
      </x:c>
      <x:c r="E585" s="164" t="str">
        <x:v>USA Colgate: Colgate, Toothbrush, 2 Pack, Soft Charcoal Spiral Bristles</x:v>
      </x:c>
      <x:c r="F585" s="164" t="str">
        <x:v>SKU Library</x:v>
      </x:c>
      <x:c r="G585" s="167" t="str">
        <x:v>2026-08-31</x:v>
      </x:c>
    </x:row>
    <x:row r="586" ht="18" customHeight="1">
      <x:c r="A586" s="163" t="str">
        <x:v>SRC-0585</x:v>
      </x:c>
      <x:c r="B586" s="164" t="str">
        <x:v>https://www.walmart.com/ip/Colgate-Optic-White-Soft-Manual-Toothbrush-1ct/15862719867</x:v>
      </x:c>
      <x:c r="C586" s="164" t="str">
        <x:v>Current retailer product page</x:v>
      </x:c>
      <x:c r="D586" s="164" t="str">
        <x:v>Tier 2 - retailer</x:v>
      </x:c>
      <x:c r="E586" s="164" t="str">
        <x:v>USA Colgate: Colgate Optic White Soft Toothbrush for Adults, 1 Pack</x:v>
      </x:c>
      <x:c r="F586" s="164" t="str">
        <x:v>SKU Library</x:v>
      </x:c>
      <x:c r="G586" s="167" t="str">
        <x:v>2026-08-31</x:v>
      </x:c>
    </x:row>
    <x:row r="587" ht="18" customHeight="1">
      <x:c r="A587" s="163" t="str">
        <x:v>SRC-0586</x:v>
      </x:c>
      <x:c r="B587" s="164" t="str">
        <x:v>https://www.walmart.com/ip/Colgate-Optic-White-Whitening-Mouthwash-2-Hydrogen-Peroxide-Fresh-Mint-32-fl-oz-3-Pack/405401450</x:v>
      </x:c>
      <x:c r="C587" s="164" t="str">
        <x:v>Current retailer product page</x:v>
      </x:c>
      <x:c r="D587" s="164" t="str">
        <x:v>Tier 2 - retailer</x:v>
      </x:c>
      <x:c r="E587" s="164" t="str">
        <x:v>USA Colgate: Colgate, Mouthwash, 3 Pack 32 OZ, Whitening with Icy Fresh Mint</x:v>
      </x:c>
      <x:c r="F587" s="164" t="str">
        <x:v>SKU Library</x:v>
      </x:c>
      <x:c r="G587" s="167" t="str">
        <x:v>2026-08-31</x:v>
      </x:c>
    </x:row>
    <x:row r="588" ht="18" customHeight="1">
      <x:c r="A588" s="163" t="str">
        <x:v>SRC-0587</x:v>
      </x:c>
      <x:c r="B588" s="164" t="str">
        <x:v>https://www.walmart.com/ip/Colgate-Peroxyl-Mild-Mint-Mouth-Sore-Rinse-16-fl-oz/43972117</x:v>
      </x:c>
      <x:c r="C588" s="164" t="str">
        <x:v>Current retailer product page</x:v>
      </x:c>
      <x:c r="D588" s="164" t="str">
        <x:v>Tier 2 - retailer</x:v>
      </x:c>
      <x:c r="E588" s="164" t="str">
        <x:v>USA Colgate: Colgate Peroxyl Alcohol Free Mouthwash and Mouth Sore Rinse, Mild Mint, 16.9 fl oz HSA/FSA Eligible</x:v>
      </x:c>
      <x:c r="F588" s="164" t="str">
        <x:v>SKU Library</x:v>
      </x:c>
      <x:c r="G588" s="167" t="str">
        <x:v>2026-08-31</x:v>
      </x:c>
    </x:row>
    <x:row r="589" ht="18" customHeight="1">
      <x:c r="A589" s="163" t="str">
        <x:v>SRC-0588</x:v>
      </x:c>
      <x:c r="B589" s="164" t="str">
        <x:v>https://www.walmart.com/ip/Colgate-Plus-Soft-Toothbrush-1-ct/8649323614</x:v>
      </x:c>
      <x:c r="C589" s="164" t="str">
        <x:v>Current retailer product page</x:v>
      </x:c>
      <x:c r="D589" s="164" t="str">
        <x:v>Tier 2 - retailer</x:v>
      </x:c>
      <x:c r="E589" s="164" t="str">
        <x:v>USA Colgate: Colgate Plus Soft Toothbrush - 1 ct</x:v>
      </x:c>
      <x:c r="F589" s="164" t="str">
        <x:v>SKU Library</x:v>
      </x:c>
      <x:c r="G589" s="167" t="str">
        <x:v>2026-08-31</x:v>
      </x:c>
    </x:row>
    <x:row r="590" ht="18" customHeight="1">
      <x:c r="A590" s="163" t="str">
        <x:v>SRC-0589</x:v>
      </x:c>
      <x:c r="B590" s="164" t="str">
        <x:v>https://www.walmart.com/ip/Colgate-Slim-Soft-Charcoal-Toothbrush-17x-Slimmer-Soft-Tip-Bristles-2-2/1305335799</x:v>
      </x:c>
      <x:c r="C590" s="164" t="str">
        <x:v>Current retailer product page</x:v>
      </x:c>
      <x:c r="D590" s="164" t="str">
        <x:v>Tier 2 - retailer</x:v>
      </x:c>
      <x:c r="E590" s="164" t="str">
        <x:v>USA Colgate: Colgate Slim Soft Charcoal Toothbrush for Sensitive Gums &amp; Teeth, 17x Slimmer Soft Tip Bristles (3 Pack)</x:v>
      </x:c>
      <x:c r="F590" s="164" t="str">
        <x:v>SKU Library</x:v>
      </x:c>
      <x:c r="G590" s="167" t="str">
        <x:v>2026-08-31</x:v>
      </x:c>
    </x:row>
    <x:row r="591" ht="18" customHeight="1">
      <x:c r="A591" s="163" t="str">
        <x:v>SRC-0590</x:v>
      </x:c>
      <x:c r="B591" s="164" t="str">
        <x:v>https://www.walmart.com/ip/Colgate-Total-Active-Prevention-Foaming-Clean-Soft-Toothbrush-with-Floss-Tip-Bristles-for-Plaque-Removal-2-Pack/5429489622</x:v>
      </x:c>
      <x:c r="C591" s="164" t="str">
        <x:v>Current retailer product page</x:v>
      </x:c>
      <x:c r="D591" s="164" t="str">
        <x:v>Tier 2 - retailer</x:v>
      </x:c>
      <x:c r="E591" s="164" t="str">
        <x:v>USA Colgate: Colgate, Total Active Prevention Foaming Clean Soft Toothbrush, 2ct</x:v>
      </x:c>
      <x:c r="F591" s="164" t="str">
        <x:v>SKU Library</x:v>
      </x:c>
      <x:c r="G591" s="167" t="str">
        <x:v>2026-08-31</x:v>
      </x:c>
    </x:row>
    <x:row r="592" ht="18" customHeight="1">
      <x:c r="A592" s="163" t="str">
        <x:v>SRC-0591</x:v>
      </x:c>
      <x:c r="B592" s="164" t="str">
        <x:v>https://www.walmart.com/ip/Colgate-Total-Active-Prevention-Whitening-Gel-Toothpaste-5-1-oz/164958428</x:v>
      </x:c>
      <x:c r="C592" s="164" t="str">
        <x:v>Current retailer product page</x:v>
      </x:c>
      <x:c r="D592" s="164" t="str">
        <x:v>Tier 2 - retailer</x:v>
      </x:c>
      <x:c r="E592" s="164" t="str">
        <x:v>USA Colgate: Colgate Total Active Prevention Whitening Gel Toothpaste, 5.1 oz</x:v>
      </x:c>
      <x:c r="F592" s="164" t="str">
        <x:v>SKU Library</x:v>
      </x:c>
      <x:c r="G592" s="167" t="str">
        <x:v>2026-08-31</x:v>
      </x:c>
    </x:row>
    <x:row r="593" ht="18" customHeight="1">
      <x:c r="A593" s="163" t="str">
        <x:v>SRC-0592</x:v>
      </x:c>
      <x:c r="B593" s="164" t="str">
        <x:v>https://www.walmart.com/ip/Colgate-Total-Active-Prevention-Whitening-Toothpaste-Mint-5-1-oz/809336932</x:v>
      </x:c>
      <x:c r="C593" s="164" t="str">
        <x:v>Current retailer product page</x:v>
      </x:c>
      <x:c r="D593" s="164" t="str">
        <x:v>Tier 2 - retailer</x:v>
      </x:c>
      <x:c r="E593" s="164" t="str">
        <x:v>USA Colgate: Colgate, Whitening Toothpaste, 5.1 oz, Mint, Anticavity</x:v>
      </x:c>
      <x:c r="F593" s="164" t="str">
        <x:v>SKU Library</x:v>
      </x:c>
      <x:c r="G593" s="167" t="str">
        <x:v>2026-08-31</x:v>
      </x:c>
    </x:row>
    <x:row r="594" ht="18" customHeight="1">
      <x:c r="A594" s="163" t="str">
        <x:v>SRC-0593</x:v>
      </x:c>
      <x:c r="B594" s="164" t="str">
        <x:v>https://www.walmart.com/ip/Colgate-Total-Clean-Mint-Paste-Toothpaste-4-8oz-1PK/415627932</x:v>
      </x:c>
      <x:c r="C594" s="164" t="str">
        <x:v>Current retailer product page</x:v>
      </x:c>
      <x:c r="D594" s="164" t="str">
        <x:v>Tier 2 - retailer</x:v>
      </x:c>
      <x:c r="E594" s="164" t="str">
        <x:v>USA Colgate: Colgate Total Clean Mint Paste Toothpaste - 4.8oz 1PK</x:v>
      </x:c>
      <x:c r="F594" s="164" t="str">
        <x:v>SKU Library</x:v>
      </x:c>
      <x:c r="G594" s="167" t="str">
        <x:v>2026-08-31</x:v>
      </x:c>
    </x:row>
    <x:row r="595" ht="18" customHeight="1">
      <x:c r="A595" s="163" t="str">
        <x:v>SRC-0594</x:v>
      </x:c>
      <x:c r="B595" s="164" t="str">
        <x:v>https://www.walmart.com/ip/Colgate-Total-Gum-Health-Alcohol-Free-Mouthwash-Non-Burning-Mouthwash-Bad-Breath-Helps-Prevent-Gum-Problems-Gingivitis-Plaque-No-Alcohol-Mouthwash-Cl/42386800</x:v>
      </x:c>
      <x:c r="C595" s="164" t="str">
        <x:v>Current retailer product page</x:v>
      </x:c>
      <x:c r="D595" s="164" t="str">
        <x:v>Tier 2 - retailer</x:v>
      </x:c>
      <x:c r="E595" s="164" t="str">
        <x:v>USA Colgate: Colgate, Mouthwash, 500 mL, Gum Health Alcohol-Free Clean Mint</x:v>
      </x:c>
      <x:c r="F595" s="164" t="str">
        <x:v>SKU Library</x:v>
      </x:c>
      <x:c r="G595" s="167" t="str">
        <x:v>2026-08-31</x:v>
      </x:c>
    </x:row>
    <x:row r="596" ht="18" customHeight="1">
      <x:c r="A596" s="163" t="str">
        <x:v>SRC-0595</x:v>
      </x:c>
      <x:c r="B596" s="164" t="str">
        <x:v>https://www.walmart.com/ip/Colgate-Total-Toothpaste-Fresh-Mint-Stripe-Gel-4-8-oz/881603334</x:v>
      </x:c>
      <x:c r="C596" s="164" t="str">
        <x:v>Current retailer product page</x:v>
      </x:c>
      <x:c r="D596" s="164" t="str">
        <x:v>Tier 2 - retailer</x:v>
      </x:c>
      <x:c r="E596" s="164" t="str">
        <x:v>USA Colgate: Colgate Total Toothpaste, Fresh Mint Stripe Gel, 4.8 oz.</x:v>
      </x:c>
      <x:c r="F596" s="164" t="str">
        <x:v>SKU Library</x:v>
      </x:c>
      <x:c r="G596" s="167" t="str">
        <x:v>2026-08-31</x:v>
      </x:c>
    </x:row>
    <x:row r="597" ht="18" customHeight="1">
      <x:c r="A597" s="163" t="str">
        <x:v>SRC-0596</x:v>
      </x:c>
      <x:c r="B597" s="164" t="str">
        <x:v>https://www.walmart.com/ip/Colgate-Total-Whitening-Charcoal-Toothpaste-Mint-5-1-oz-Package-May-Vary/14776423555</x:v>
      </x:c>
      <x:c r="C597" s="164" t="str">
        <x:v>Current retailer product page</x:v>
      </x:c>
      <x:c r="D597" s="164" t="str">
        <x:v>Tier 2 - retailer</x:v>
      </x:c>
      <x:c r="E597" s="164" t="str">
        <x:v>USA Colgate: Colgate Total Whitening + Charcoal Toothpaste, Mint 5.1 oz</x:v>
      </x:c>
      <x:c r="F597" s="164" t="str">
        <x:v>SKU Library</x:v>
      </x:c>
      <x:c r="G597" s="167" t="str">
        <x:v>2026-08-31</x:v>
      </x:c>
    </x:row>
    <x:row r="598" ht="18" customHeight="1">
      <x:c r="A598" s="163" t="str">
        <x:v>SRC-0597</x:v>
      </x:c>
      <x:c r="B598" s="164" t="str">
        <x:v>https://www.walmart.com/ip/Colgate-Total-Whitening-Gel-Toothpaste-6-oz-5-pk/100965331</x:v>
      </x:c>
      <x:c r="C598" s="164" t="str">
        <x:v>Current retailer product page</x:v>
      </x:c>
      <x:c r="D598" s="164" t="str">
        <x:v>Tier 2 - retailer</x:v>
      </x:c>
      <x:c r="E598" s="164" t="str">
        <x:v>USA Colgate: Colgate, Total Whitening Gel Toothpaste, 6 oz., 5 pk</x:v>
      </x:c>
      <x:c r="F598" s="164" t="str">
        <x:v>SKU Library</x:v>
      </x:c>
      <x:c r="G598" s="167" t="str">
        <x:v>2026-08-31</x:v>
      </x:c>
    </x:row>
    <x:row r="599" ht="18" customHeight="1">
      <x:c r="A599" s="163" t="str">
        <x:v>SRC-0598</x:v>
      </x:c>
      <x:c r="B599" s="164" t="str">
        <x:v>https://www.walmart.com/ip/Colgate-Total-Whitening-Paste-Toothpaste-4-8oz-1PK/361895155</x:v>
      </x:c>
      <x:c r="C599" s="164" t="str">
        <x:v>Current retailer product page</x:v>
      </x:c>
      <x:c r="D599" s="164" t="str">
        <x:v>Tier 2 - retailer</x:v>
      </x:c>
      <x:c r="E599" s="164" t="str">
        <x:v>USA Colgate: Colgate Total SF Whitening Toothpaste for Sensitive Teeth - 4.8oz 1PK</x:v>
      </x:c>
      <x:c r="F599" s="164" t="str">
        <x:v>SKU Library</x:v>
      </x:c>
      <x:c r="G599" s="167" t="str">
        <x:v>2026-08-31</x:v>
      </x:c>
    </x:row>
    <x:row r="600" ht="18" customHeight="1">
      <x:c r="A600" s="163" t="str">
        <x:v>SRC-0599</x:v>
      </x:c>
      <x:c r="B600" s="164" t="str">
        <x:v>https://www.walmart.com/ip/FABULOSO-FABULOSO-LIQ-CLN-CLEANERS-LIQUID-GEL-FABULOSO-TROPICAL-SPRING-BDC-CLN/377996830</x:v>
      </x:c>
      <x:c r="C600" s="164" t="str">
        <x:v>Current retailer product page</x:v>
      </x:c>
      <x:c r="D600" s="164" t="str">
        <x:v>Tier 2 - retailer</x:v>
      </x:c>
      <x:c r="E600" s="164" t="str">
        <x:v>USA Fabuloso: Fabuloso 2x Concentrated Multi-Purpose Cleaner &amp; Floor Cleaning Solution, Tropical Spring Scent - 56 fl oz</x:v>
      </x:c>
      <x:c r="F600" s="164" t="str">
        <x:v>SKU Library</x:v>
      </x:c>
      <x:c r="G600" s="167" t="str">
        <x:v>2026-08-31</x:v>
      </x:c>
    </x:row>
    <x:row r="601" ht="18" customHeight="1">
      <x:c r="A601" s="163" t="str">
        <x:v>SRC-0600</x:v>
      </x:c>
      <x:c r="B601" s="164" t="str">
        <x:v>https://www.walmart.com/ip/Irish-Spring-Original-Clean-Deodorant-Bar-Soap-for-Men-for-All-Skin-Types-3-7oz-3-Pack/10312238</x:v>
      </x:c>
      <x:c r="C601" s="164" t="str">
        <x:v>Current retailer product page</x:v>
      </x:c>
      <x:c r="D601" s="164" t="str">
        <x:v>Tier 2 - retailer</x:v>
      </x:c>
      <x:c r="E601" s="164" t="str">
        <x:v>USA Irish Spring: Irish Spring, Original Clean Deodorant Bar Soap, 3.7oz, 3pk</x:v>
      </x:c>
      <x:c r="F601" s="164" t="str">
        <x:v>SKU Library</x:v>
      </x:c>
      <x:c r="G601" s="167" t="str">
        <x:v>2026-08-31</x:v>
      </x:c>
    </x:row>
    <x:row r="602" ht="18" customHeight="1">
      <x:c r="A602" s="163" t="str">
        <x:v>SRC-0601</x:v>
      </x:c>
      <x:c r="B602" s="164" t="str">
        <x:v>https://www.walmart.com/ip/Softsoap-Liquid-Hand-Soap-Refill-Soothing-Clean-Aloe-Vera-Fresh-Scent-50-Fluid-Ounce/825695219</x:v>
      </x:c>
      <x:c r="C602" s="164" t="str">
        <x:v>Current retailer product page</x:v>
      </x:c>
      <x:c r="D602" s="164" t="str">
        <x:v>Tier 2 - retailer</x:v>
      </x:c>
      <x:c r="E602" s="164" t="str">
        <x:v>USA Softsoap: Softsoap, Hand Soap, 50 fl oz, Aloe Vera Fresh Scent</x:v>
      </x:c>
      <x:c r="F602" s="164" t="str">
        <x:v>SKU Library</x:v>
      </x:c>
      <x:c r="G602" s="167" t="str">
        <x:v>2026-08-31</x:v>
      </x:c>
    </x:row>
    <x:row r="603" ht="18" customHeight="1">
      <x:c r="A603" s="163" t="str">
        <x:v>SRC-0602</x:v>
      </x:c>
      <x:c r="B603" s="164" t="str">
        <x:v>https://www.walmart.com/ip/Speed-Stick-Deodorant-Regular-1-8-oz/549834472</x:v>
      </x:c>
      <x:c r="C603" s="164" t="str">
        <x:v>Current retailer product page</x:v>
      </x:c>
      <x:c r="D603" s="164" t="str">
        <x:v>Tier 2 - retailer</x:v>
      </x:c>
      <x:c r="E603" s="164" t="str">
        <x:v>USA Speed Stick: Speed Stick Deodorant Regular 1.8 oz</x:v>
      </x:c>
      <x:c r="F603" s="164" t="str">
        <x:v>SKU Library</x:v>
      </x:c>
      <x:c r="G603" s="167" t="str">
        <x:v>2026-08-31</x:v>
      </x:c>
    </x:row>
    <x:row r="604" ht="18" customHeight="1">
      <x:c r="A604" s="163" t="str">
        <x:v>SRC-0603</x:v>
      </x:c>
      <x:c r="B604" s="164" t="str">
        <x:v>https://www.walmart.com/ip/Speed-Stick-Irish-Spring-Antiperspirant-Deodorant-for-men-Original-2-7-oz/11965074</x:v>
      </x:c>
      <x:c r="C604" s="164" t="str">
        <x:v>Current retailer product page</x:v>
      </x:c>
      <x:c r="D604" s="164" t="str">
        <x:v>Tier 2 - retailer</x:v>
      </x:c>
      <x:c r="E604" s="164" t="str">
        <x:v>USA Irish Spring: Speed Stick Irish Spring Antiperspirant Deodorant Men, Original scent, 2.7 oz, 24-hour odor and wetness protection</x:v>
      </x:c>
      <x:c r="F604" s="164" t="str">
        <x:v>SKU Library</x:v>
      </x:c>
      <x:c r="G604" s="167" t="str">
        <x:v>2026-08-31</x:v>
      </x:c>
    </x:row>
    <x:row r="605" ht="18" customHeight="1">
      <x:c r="A605" s="163" t="str">
        <x:v>SRC-0604</x:v>
      </x:c>
      <x:c r="B605" s="164" t="str">
        <x:v>https://www.walmart.com/ip/Speed-Stick-Irish-Spring-Antiperspirant-Deodorant-Original-2-7-oz-Twin-Pack-Male/42380406</x:v>
      </x:c>
      <x:c r="C605" s="164" t="str">
        <x:v>Current retailer product page</x:v>
      </x:c>
      <x:c r="D605" s="164" t="str">
        <x:v>Tier 2 - retailer</x:v>
      </x:c>
      <x:c r="E605" s="164" t="str">
        <x:v>USA Irish Spring: Speed Stick Irish Spring Antiperspirant Deodorant, 2.7 oz ...</x:v>
      </x:c>
      <x:c r="F605" s="164" t="str">
        <x:v>SKU Library</x:v>
      </x:c>
      <x:c r="G605" s="167" t="str">
        <x:v>2026-08-31</x:v>
      </x:c>
    </x:row>
    <x:row r="606" ht="18" customHeight="1">
      <x:c r="A606" s="163" t="str">
        <x:v>SRC-0605</x:v>
      </x:c>
      <x:c r="B606" s="164" t="str">
        <x:v>https://www.walmart.com/ip/Speed-Stick-Men-s-Antiperspirant-Deodorant-Power-Fresh-3-oz/10813616</x:v>
      </x:c>
      <x:c r="C606" s="164" t="str">
        <x:v>Current retailer product page</x:v>
      </x:c>
      <x:c r="D606" s="164" t="str">
        <x:v>Tier 2 - retailer</x:v>
      </x:c>
      <x:c r="E606" s="164" t="str">
        <x:v>USA Speed Stick: Speed Stick, Men's Antiperspirant Deodorant, Power Fresh, 3 oz</x:v>
      </x:c>
      <x:c r="F606" s="164" t="str">
        <x:v>SKU Library</x:v>
      </x:c>
      <x:c r="G606" s="167" t="str">
        <x:v>2026-08-31</x:v>
      </x:c>
    </x:row>
    <x:row r="607" ht="18" customHeight="1">
      <x:c r="A607" s="163" t="str">
        <x:v>SRC-0606</x:v>
      </x:c>
      <x:c r="B607" s="164" t="str">
        <x:v>https://www.walmart.com/ip/Suavitel-Liquid-Fabric-Softener-and-Conditioner-Field-Flowers-105-oz-105-Small-Loads/3842490221</x:v>
      </x:c>
      <x:c r="C607" s="164" t="str">
        <x:v>Current retailer product page</x:v>
      </x:c>
      <x:c r="D607" s="164" t="str">
        <x:v>Tier 2 - retailer</x:v>
      </x:c>
      <x:c r="E607" s="164" t="str">
        <x:v>USA Suavitel: Suavitel, Fabric Conditioner, 45 Days of Freshness, 105 fl oz</x:v>
      </x:c>
      <x:c r="F607" s="164" t="str">
        <x:v>SKU Library</x:v>
      </x:c>
      <x:c r="G607" s="167" t="str">
        <x:v>2026-08-31</x:v>
      </x:c>
    </x:row>
    <x:row r="608" ht="18" customHeight="1">
      <x:c r="A608" s="163" t="str">
        <x:v>SRC-0607</x:v>
      </x:c>
      <x:c r="B608" s="164" t="str">
        <x:v>https://www.walmart.com/ip/Suavitel-Liquid-Fabric-Softener-and-Conditioner-Morning-Sun-105-oz-105-Small-Loads/3262867906</x:v>
      </x:c>
      <x:c r="C608" s="164" t="str">
        <x:v>Availability evidence</x:v>
      </x:c>
      <x:c r="D608" s="164" t="str">
        <x:v>Tier 1</x:v>
      </x:c>
      <x:c r="E608" s="164" t="str">
        <x:v>Market presence</x:v>
      </x:c>
      <x:c r="F608" s="164" t="str">
        <x:v>Brand Repository: USA Suavitel; SKU Library</x:v>
      </x:c>
      <x:c r="G608" s="167" t="str">
        <x:v>2026-08-31</x:v>
      </x:c>
    </x:row>
    <x:row r="609" ht="18" customHeight="1">
      <x:c r="A609" s="163" t="str">
        <x:v>SRC-0608</x:v>
      </x:c>
      <x:c r="B609" s="164" t="str">
        <x:v>https://www.walmart.com/ip/Tom-s-of-Maine-Whole-Care-Natural-Toothpaste-With-Fluoride-Spearmint-4-oz-3-Pack-Packaging-May-Vary/1176518503</x:v>
      </x:c>
      <x:c r="C609" s="164" t="str">
        <x:v>Current retailer product page</x:v>
      </x:c>
      <x:c r="D609" s="164" t="str">
        <x:v>Tier 2 - retailer</x:v>
      </x:c>
      <x:c r="E609" s="164" t="str">
        <x:v>USA Tom's of Maine: Tom's of Maine Natural Toothpaste, Whole Care With Fluoride, Spearmint, 4 oz. 3-Pack</x:v>
      </x:c>
      <x:c r="F609" s="164" t="str">
        <x:v>SKU Library</x:v>
      </x:c>
      <x:c r="G609" s="167" t="str">
        <x:v>2026-08-31</x:v>
      </x:c>
    </x:row>
    <x:row r="610" ht="18" customHeight="1">
      <x:c r="A610" s="163" t="str">
        <x:v>SRC-0609</x:v>
      </x:c>
      <x:c r="B610" s="164" t="str">
        <x:v>https://www.walmart.com/ip/Tom-s-of-Maine-Wicked-Fresh-Natural-Fluoride-Toothpaste-Spearmint-Ice-4-0-Oz/5207172232</x:v>
      </x:c>
      <x:c r="C610" s="164" t="str">
        <x:v>Current retailer product page</x:v>
      </x:c>
      <x:c r="D610" s="164" t="str">
        <x:v>Tier 2 - retailer</x:v>
      </x:c>
      <x:c r="E610" s="164" t="str">
        <x:v>USA Tom's of Maine: Tom's of Maine Wicked Fresh Natural Anticavity Toothpaste with Fluoride, Spearmint Ice, 4.0 oz</x:v>
      </x:c>
      <x:c r="F610" s="164" t="str">
        <x:v>SKU Library</x:v>
      </x:c>
      <x:c r="G610" s="167" t="str">
        <x:v>2026-08-31</x:v>
      </x:c>
    </x:row>
    <x:row r="611" ht="18" customHeight="1">
      <x:c r="A611" s="168" t="str">
        <x:v>SRC-0610</x:v>
      </x:c>
      <x:c r="B611" s="169" t="str">
        <x:v>https://www.walmart.com/reviews/product/972946946</x:v>
      </x:c>
      <x:c r="C611" s="169" t="str">
        <x:v>Current retailer product page</x:v>
      </x:c>
      <x:c r="D611" s="169" t="str">
        <x:v>Tier 2 - retailer</x:v>
      </x:c>
      <x:c r="E611" s="169" t="str">
        <x:v>USA Ajax: Customer reviews for AJAX Liquid Dish Soap, 28 Fluid ...</x:v>
      </x:c>
      <x:c r="F611" s="169" t="str">
        <x:v>SKU Library</x:v>
      </x:c>
      <x:c r="G611" s="172" t="str">
        <x:v>2026-08-31</x:v>
      </x:c>
    </x:row>
  </x:sheetData>
  <x:pageMargins left="0.7" right="0.7" top="0.75" bottom="0.75" header="0.3" footer="0.3"/>
  <x:tableParts count="1">
    <x:tablePart xmlns:r="http://schemas.openxmlformats.org/officeDocument/2006/relationships" r:id="Rd0932cad81804ed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32" hidden="0" customWidth="1"/>
    <x:col min="4" max="4" width="75" hidden="0" customWidth="1"/>
    <x:col min="5" max="5" width="55" hidden="0" customWidth="1"/>
  </x:cols>
  <x:sheetData>
    <x:row r="1" ht="38" customHeight="1">
      <x:c r="A1" s="124" t="str">
        <x:v>Market</x:v>
      </x:c>
      <x:c r="B1" s="124" t="str">
        <x:v>Candidate / Metric</x:v>
      </x:c>
      <x:c r="C1" s="124" t="str">
        <x:v>Status</x:v>
      </x:c>
      <x:c r="D1" s="124" t="str">
        <x:v>Reason</x:v>
      </x:c>
      <x:c r="E1" s="124" t="str">
        <x:v>Next Action</x:v>
      </x:c>
    </x:row>
    <x:row r="2" ht="55" customHeight="1">
      <x:c r="A2" s="158" t="str">
        <x:v>USA</x:v>
      </x:c>
      <x:c r="B2" s="159" t="str">
        <x:v>Fleecy</x:v>
      </x:c>
      <x:c r="C2" s="159" t="str">
        <x:v>Not included in current-sold brand table</x:v>
      </x:c>
      <x:c r="D2" s="159" t="str">
        <x:v>Appears on global corporate portfolio but no U.S.-local catalog, current retailer or regulatory evidence was captured.</x:v>
      </x:c>
      <x:c r="E2" s="162" t="str">
        <x:v>Verify with syndicated retailer/GS1 data or local distributor list.</x:v>
      </x:c>
    </x:row>
    <x:row r="3" ht="55" customHeight="1">
      <x:c r="A3" s="163" t="str">
        <x:v>CA</x:v>
      </x:c>
      <x:c r="B3" s="164" t="str">
        <x:v>Ajax</x:v>
      </x:c>
      <x:c r="C3" s="164" t="str">
        <x:v>Not included in current-sold brand table</x:v>
      </x:c>
      <x:c r="D3" s="164" t="str">
        <x:v>Global/U.S. evidence exists, but Canada corporate page omits Ajax and no current Canadian retailer evidence was captured.</x:v>
      </x:c>
      <x:c r="E3" s="167" t="str">
        <x:v>Verify with Canadian retailer crawl or GS1 Canada.</x:v>
      </x:c>
    </x:row>
    <x:row r="4" ht="55" customHeight="1">
      <x:c r="A4" s="163" t="str">
        <x:v>USA</x:v>
      </x:c>
      <x:c r="B4" s="164" t="str">
        <x:v>Protex and other global brands</x:v>
      </x:c>
      <x:c r="C4" s="164" t="str">
        <x:v>Excluded from current-sold table</x:v>
      </x:c>
      <x:c r="D4" s="164" t="str">
        <x:v>Global portfolio or regulatory traces alone do not establish current U.S. consumer retail distribution.</x:v>
      </x:c>
      <x:c r="E4" s="167" t="str">
        <x:v>Require current local retailer/first-party evidence.</x:v>
      </x:c>
    </x:row>
    <x:row r="5" ht="55" customHeight="1">
      <x:c r="A5" s="163" t="str">
        <x:v>CA</x:v>
      </x:c>
      <x:c r="B5" s="164" t="str">
        <x:v>Additional global brands</x:v>
      </x:c>
      <x:c r="C5" s="164" t="str">
        <x:v>Excluded from current-sold table</x:v>
      </x:c>
      <x:c r="D5" s="164" t="str">
        <x:v>No current Canada-local first-party or retailer evidence captured.</x:v>
      </x:c>
      <x:c r="E5" s="167" t="str">
        <x:v>Require current local retailer/first-party evidence.</x:v>
      </x:c>
    </x:row>
    <x:row r="6" ht="55" customHeight="1">
      <x:c r="A6" s="163" t="str">
        <x:v>USA/CA</x:v>
      </x:c>
      <x:c r="B6" s="164" t="str">
        <x:v>Private-label products</x:v>
      </x:c>
      <x:c r="C6" s="164" t="str">
        <x:v>Out of brand scope</x:v>
      </x:c>
      <x:c r="D6" s="164" t="str">
        <x:v>The project requests Colgate-Palmolive brands; the company also exited private-label pet food.</x:v>
      </x:c>
      <x:c r="E6" s="167" t="str">
        <x:v>Add only if future scope includes manufacturer/private-label relationships.</x:v>
      </x:c>
    </x:row>
    <x:row r="7" ht="55" customHeight="1">
      <x:c r="A7" s="168" t="str">
        <x:v>USA/CA</x:v>
      </x:c>
      <x:c r="B7" s="169" t="str">
        <x:v>Exact retail sales, retailer spend, channel mix and local share</x:v>
      </x:c>
      <x:c r="C7" s="169" t="str">
        <x:v>Modeled or unavailable</x:v>
      </x:c>
      <x:c r="D7" s="169" t="str">
        <x:v>Not publicly disclosed at brand-market level; company market-share data has channel coverage limitations.</x:v>
      </x:c>
      <x:c r="E7" s="172" t="str">
        <x:v>Replace model fields with NIQ/Circana/Nielsen, retailer POS, Numerator, Profitero or internal finance data.</x:v>
      </x:c>
    </x:row>
  </x:sheetData>
  <x:pageMargins left="0.7" right="0.7" top="0.75" bottom="0.75" header="0.3" footer="0.3"/>
  <x:tableParts count="1">
    <x:tablePart xmlns:r="http://schemas.openxmlformats.org/officeDocument/2006/relationships" r:id="R15ef07a6d7f04f1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2" hidden="0" customWidth="1"/>
    <x:col min="2" max="2" width="95" hidden="0" customWidth="1"/>
    <x:col min="3" max="3" width="30" hidden="0" customWidth="1"/>
  </x:cols>
  <x:sheetData>
    <x:row r="1" ht="38" customHeight="1">
      <x:c r="A1" s="124" t="str">
        <x:v>Field Group</x:v>
      </x:c>
      <x:c r="B1" s="124" t="str">
        <x:v>Definition</x:v>
      </x:c>
      <x:c r="C1" s="124" t="str">
        <x:v>Classification</x:v>
      </x:c>
    </x:row>
    <x:row r="2" ht="44" customHeight="1">
      <x:c r="A2" s="158" t="str">
        <x:v>Availability Status</x:v>
      </x:c>
      <x:c r="B2" s="159" t="str">
        <x:v>Evidence-backed description of why the brand is included; not identical to in-stock status.</x:v>
      </x:c>
      <x:c r="C2" s="162" t="str">
        <x:v>Fact / evidence classification</x:v>
      </x:c>
    </x:row>
    <x:row r="3" ht="44" customHeight="1">
      <x:c r="A3" s="163" t="str">
        <x:v>Estimated Sales Low/Mid/High</x:v>
      </x:c>
      <x:c r="B3" s="164" t="str">
        <x:v>Top-down brand allocation from reported or explicitly modeled market pools.</x:v>
      </x:c>
      <x:c r="C3" s="167" t="str">
        <x:v>Modeled USD millions</x:v>
      </x:c>
    </x:row>
    <x:row r="4" ht="44" customHeight="1">
      <x:c r="A4" s="163" t="str">
        <x:v>Estimated In-Store / Online %</x:v>
      </x:c>
      <x:c r="B4" s="164" t="str">
        <x:v>Category-market channel proxy that sums to 100%.</x:v>
      </x:c>
      <x:c r="C4" s="167" t="str">
        <x:v>Modeled</x:v>
      </x:c>
    </x:row>
    <x:row r="5" ht="44" customHeight="1">
      <x:c r="A5" s="163" t="str">
        <x:v>Top Retailers + Estimated Spend</x:v>
      </x:c>
      <x:c r="B5" s="164" t="str">
        <x:v>Readable top-three snapshot; full editable model is on Retailer Model.</x:v>
      </x:c>
      <x:c r="C5" s="167" t="str">
        <x:v>Modeled</x:v>
      </x:c>
    </x:row>
    <x:row r="6" ht="44" customHeight="1">
      <x:c r="A6" s="163" t="str">
        <x:v>Estimated Marketing Spend</x:v>
      </x:c>
      <x:c r="B6" s="164" t="str">
        <x:v>Brand midpoint sales multiplied by 13.3% 2025 company advertising intensity.</x:v>
      </x:c>
      <x:c r="C6" s="167" t="str">
        <x:v>Modeled</x:v>
      </x:c>
    </x:row>
    <x:row r="7" ht="44" customHeight="1">
      <x:c r="A7" s="163" t="str">
        <x:v>Market / Category Share</x:v>
      </x:c>
      <x:c r="B7" s="164" t="str">
        <x:v>Exact public scope where disclosed; otherwise explicit gap.</x:v>
      </x:c>
      <x:c r="C7" s="167" t="str">
        <x:v>Reported or unavailable</x:v>
      </x:c>
    </x:row>
    <x:row r="8" ht="44" customHeight="1">
      <x:c r="A8" s="163" t="str">
        <x:v>General Sentiment</x:v>
      </x:c>
      <x:c r="B8" s="164" t="str">
        <x:v>Directional review/media/social synthesis, not a normalized score.</x:v>
      </x:c>
      <x:c r="C8" s="167" t="str">
        <x:v>Directional</x:v>
      </x:c>
    </x:row>
    <x:row r="9" ht="44" customHeight="1">
      <x:c r="A9" s="163" t="str">
        <x:v>Q4 2026 Focus</x:v>
      </x:c>
      <x:c r="B9" s="164" t="str">
        <x:v>Management-stated where available; otherwise clearly labeled inference from corporate strategy.</x:v>
      </x:c>
      <x:c r="C9" s="167" t="str">
        <x:v>Reported / inferred</x:v>
      </x:c>
    </x:row>
    <x:row r="10" ht="44" customHeight="1">
      <x:c r="A10" s="168" t="str">
        <x:v>Sources</x:v>
      </x:c>
      <x:c r="B10" s="169" t="str">
        <x:v>Raw URLs and a separate claim/source ledger.</x:v>
      </x:c>
      <x:c r="C10" s="172" t="str">
        <x:v>Evidence</x:v>
      </x:c>
    </x:row>
  </x:sheetData>
  <x:pageMargins left="0.7" right="0.7" top="0.75" bottom="0.75" header="0.3" footer="0.3"/>
  <x:tableParts count="1">
    <x:tablePart xmlns:r="http://schemas.openxmlformats.org/officeDocument/2006/relationships" r:id="R129361c1b7d6428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5" hidden="0" customWidth="1"/>
    <x:col min="2" max="2" width="15" hidden="0" customWidth="1"/>
    <x:col min="3" max="3" width="12" hidden="0" customWidth="1"/>
    <x:col min="4" max="4" width="60" hidden="0" customWidth="1"/>
  </x:cols>
  <x:sheetData>
    <x:row r="1" ht="38" customHeight="1">
      <x:c r="A1" s="124" t="str">
        <x:v>QA Check</x:v>
      </x:c>
      <x:c r="B1" s="124" t="str">
        <x:v>Result</x:v>
      </x:c>
      <x:c r="C1" s="124" t="str">
        <x:v>Status</x:v>
      </x:c>
      <x:c r="D1" s="124" t="str">
        <x:v>Expectation / Method</x:v>
      </x:c>
    </x:row>
    <x:row r="2" ht="18" customHeight="1">
      <x:c r="A2" s="143" t="str">
        <x:v>Brand-market rows</x:v>
      </x:c>
      <x:c r="B2" s="144" t="n">
        <x:v>34</x:v>
      </x:c>
      <x:c r="C2" s="208" t="str">
        <x:v>PASS</x:v>
      </x:c>
      <x:c r="D2" s="145" t="str">
        <x:v>Canonical row count</x:v>
      </x:c>
    </x:row>
    <x:row r="3" ht="18" customHeight="1">
      <x:c r="A3" s="146" t="str">
        <x:v>Duplicate brand-market keys</x:v>
      </x:c>
      <x:c r="B3" s="147" t="n">
        <x:v>0</x:v>
      </x:c>
      <x:c r="C3" s="209" t="str">
        <x:v>PASS</x:v>
      </x:c>
      <x:c r="D3" s="148" t="str">
        <x:v>Expected 0</x:v>
      </x:c>
    </x:row>
    <x:row r="4" ht="18" customHeight="1">
      <x:c r="A4" s="146" t="str">
        <x:v>Missing required brand fields</x:v>
      </x:c>
      <x:c r="B4" s="147" t="n">
        <x:v>0</x:v>
      </x:c>
      <x:c r="C4" s="209" t="str">
        <x:v>PASS</x:v>
      </x:c>
      <x:c r="D4" s="148" t="str">
        <x:v>Expected 0</x:v>
      </x:c>
    </x:row>
    <x:row r="5" ht="18" customHeight="1">
      <x:c r="A5" s="146" t="str">
        <x:v>In-store + online check</x:v>
      </x:c>
      <x:c r="B5" s="147" t="n">
        <x:v>0</x:v>
      </x:c>
      <x:c r="C5" s="209" t="str">
        <x:v>PASS</x:v>
      </x:c>
      <x:c r="D5" s="148" t="str">
        <x:v>Expected 0</x:v>
      </x:c>
    </x:row>
    <x:row r="6" ht="18" customHeight="1">
      <x:c r="A6" s="146" t="str">
        <x:v>Retailer allocation groups</x:v>
      </x:c>
      <x:c r="B6" s="147" t="n">
        <x:v>34</x:v>
      </x:c>
      <x:c r="C6" s="209" t="str">
        <x:v>PASS</x:v>
      </x:c>
      <x:c r="D6" s="148" t="str">
        <x:v>Expected 34</x:v>
      </x:c>
    </x:row>
    <x:row r="7" ht="18" customHeight="1">
      <x:c r="A7" s="146" t="str">
        <x:v>Retailer allocations not 100%</x:v>
      </x:c>
      <x:c r="B7" s="147" t="n">
        <x:v>0</x:v>
      </x:c>
      <x:c r="C7" s="209" t="str">
        <x:v>PASS</x:v>
      </x:c>
      <x:c r="D7" s="148" t="str">
        <x:v>Expected 0</x:v>
      </x:c>
    </x:row>
    <x:row r="8" ht="18" customHeight="1">
      <x:c r="A8" s="146" t="str">
        <x:v>Unique source URLs</x:v>
      </x:c>
      <x:c r="B8" s="147" t="n">
        <x:v>610</x:v>
      </x:c>
      <x:c r="C8" s="209" t="str">
        <x:v>PASS</x:v>
      </x:c>
      <x:c r="D8" s="148" t="str">
        <x:v>Claim/source ledger</x:v>
      </x:c>
    </x:row>
    <x:row r="9" ht="18" customHeight="1">
      <x:c r="A9" s="149" t="str">
        <x:v>Formula error scan</x:v>
      </x:c>
      <x:c r="B9" s="150" t="n">
        <x:v>0</x:v>
      </x:c>
      <x:c r="C9" s="210" t="str">
        <x:v>PASS</x:v>
      </x:c>
      <x:c r="D9" s="151" t="str">
        <x:v>Checked after XLSX export and re-import</x:v>
      </x:c>
    </x:row>
  </x:sheetData>
  <x:pageMargins left="0.7" right="0.7" top="0.75" bottom="0.75" header="0.3" footer="0.3"/>
  <x:tableParts count="1">
    <x:tablePart xmlns:r="http://schemas.openxmlformats.org/officeDocument/2006/relationships" r:id="R77cacac491cd430f"/>
  </x:tableParts>
</x:worksheet>
</file>